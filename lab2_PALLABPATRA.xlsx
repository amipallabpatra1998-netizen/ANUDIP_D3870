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EF3803E3-6907-4309-B3DD-F5ED589225C9}" xr6:coauthVersionLast="47" xr6:coauthVersionMax="47" xr10:uidLastSave="{00000000-0000-0000-0000-000000000000}"/>
  <bookViews>
    <workbookView xWindow="-120" yWindow="-120" windowWidth="20730" windowHeight="11160" xr2:uid="{AB1DDFA7-E714-48A8-9274-FE7391402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4" i="1"/>
  <c r="G5" i="1"/>
  <c r="G6" i="1"/>
  <c r="G7" i="1"/>
  <c r="G3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<sst xmlns="http://schemas.openxmlformats.org/spreadsheetml/2006/main" count="33" uniqueCount="31">
  <si>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</si>
  <si>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</si>
  <si>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ProductA</t>
  </si>
  <si>
    <t>ProductB</t>
  </si>
  <si>
    <t>ProductC</t>
  </si>
  <si>
    <t>ProductD</t>
  </si>
  <si>
    <t>ProductE</t>
  </si>
  <si>
    <t>ProductF</t>
  </si>
  <si>
    <t>Sales</t>
  </si>
  <si>
    <t>Target</t>
  </si>
  <si>
    <t>Region</t>
  </si>
  <si>
    <t>North</t>
  </si>
  <si>
    <t>South</t>
  </si>
  <si>
    <t>East</t>
  </si>
  <si>
    <t>West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</si>
  <si>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</si>
  <si>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</si>
  <si>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</si>
  <si>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</si>
  <si>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</si>
  <si>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</si>
  <si>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</si>
  <si>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</si>
  <si>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Target  Met</t>
  </si>
  <si>
    <t>Regional Bonus</t>
  </si>
  <si>
    <t>Commission Rate</t>
  </si>
  <si>
    <t>Bonus Amount</t>
  </si>
  <si>
    <t xml:space="preserve">Performace </t>
  </si>
  <si>
    <t>Price Tier</t>
  </si>
  <si>
    <t>Year End Bonus</t>
  </si>
  <si>
    <t>Nature of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</si>
</sst>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9A45-3230-4F51-A609-7ABB36EB32F4}">
  <dimension ref="A1:M17"/>
  <sheetViews>
    <sheetView tabSelected="1" workbookViewId="0">
      <selection activeCell="K20" sqref="K20"/>
    </sheetView>
  </sheetViews>
  <sheetFormatPr defaultRowHeight="15" x14ac:dyDescent="0.25"/>
  <cols>
    <col min="1" max="1" width="9.7109375" bestFit="1" customWidth="1"/>
    <col min="6" max="6" width="14.28515625" bestFit="1" customWidth="1"/>
    <col min="7" max="7" width="14.7109375" bestFit="1" customWidth="1"/>
    <col min="8" max="8" width="16.42578125" bestFit="1" customWidth="1"/>
    <col min="9" max="9" width="14.140625" bestFit="1" customWidth="1"/>
    <col min="10" max="10" width="19.5703125" bestFit="1" customWidth="1"/>
    <col min="12" max="12" width="14.5703125" bestFit="1" customWidth="1"/>
    <col min="13" max="13" width="19.28515625" bestFit="1" customWidth="1"/>
  </cols>
  <sheetData>
    <row r="1" spans="1:13" x14ac:dyDescent="0.25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spans="1:13" x14ac:dyDescent="0.25">
      <c r="A2" s="10">
        <v>101</v>
      </c>
      <c r="B2" s="10" t="s">
        <v>2</v>
      </c>
      <c r="C2" s="10">
        <v>120</v>
      </c>
      <c r="D2" s="10">
        <v>150</v>
      </c>
      <c r="E2" s="10" t="s">
        <v>11</v>
      </c>
      <c r="F2" s="1" t="str">
        <f>IF(C2&gt;=D2,"Target Achived","You failed")</f>
        <v>You failed</v>
      </c>
      <c r="G2" s="4" t="str">
        <f>IF(C2&gt;200,"Eligble","Not Eligble")</f>
        <v>Not Eligble</v>
      </c>
      <c r="H2" s="5">
        <f>_xlfn.IFS(C2&gt;=200,C2*10%,C2&gt;=150,C2*7%,C2&lt;150,C2*5%)</f>
        <v>6</v>
      </c>
      <c r="I2" s="6">
        <f>IF(C2&gt;=D2,C2*10%,C2*5%)</f>
        <v>6</v>
      </c>
      <c r="J2" s="7" t="str">
        <f>_xlfn.IFS(C2&gt;=200,"Excellent",C2&gt;=150,"Good",C2&lt;150,"Needs Improvement")</f>
        <v>Needs Improvement</v>
      </c>
      <c r="K2" s="8" t="str">
        <f>_xlfn.IFS(C2&gt;200,"High",C2&gt;=100,"Medium",C2&lt;100,"Low")</f>
        <v>Medium</v>
      </c>
      <c r="L2" s="9" t="str">
        <f>IF(AND(C2&gt;=150,E2="North"),"$500","$300")</f>
        <v>$300</v>
      </c>
      <c r="M2" s="14" t="str">
        <f>IF(C2&gt;=PERCENTILE($C$2:$C$7,0.75),"High Performer","Low Performer")</f>
        <v>Low Performer</v>
      </c>
    </row>
    <row r="3" spans="1:13" x14ac:dyDescent="0.25">
      <c r="A3" s="10">
        <v>102</v>
      </c>
      <c r="B3" s="10" t="s">
        <v>3</v>
      </c>
      <c r="C3" s="10">
        <v>150</v>
      </c>
      <c r="D3" s="10">
        <v>140</v>
      </c>
      <c r="E3" s="10" t="s">
        <v>12</v>
      </c>
      <c r="F3" s="1" t="str">
        <f t="shared" ref="F3:F7" si="0">IF(C3&gt;=D3,"Target Achived","You failed")</f>
        <v>Target Achived</v>
      </c>
      <c r="G3" s="4" t="str">
        <f>IF(C3&gt;200,"Eligble","Not Eligble")</f>
        <v>Not Eligble</v>
      </c>
      <c r="H3" s="5">
        <f t="shared" ref="H3:H7" si="1">_xlfn.IFS(C3&gt;=200,C3*10%,C3&gt;=150,C3*7%,C3&lt;150,C3*5%)</f>
        <v>10.500000000000002</v>
      </c>
      <c r="I3" s="6">
        <f t="shared" ref="I3:I7" si="2">IF(C3&gt;=D3,C3*10%,C3*5%)</f>
        <v>15</v>
      </c>
      <c r="J3" s="7" t="str">
        <f t="shared" ref="J3:J7" si="3">_xlfn.IFS(C3&gt;=200,"Excellent",C3&gt;=150,"Good",C3&lt;150,"Needs Improvement")</f>
        <v>Good</v>
      </c>
      <c r="K3" s="8" t="str">
        <f t="shared" ref="K3:K7" si="4">_xlfn.IFS(C3&gt;200,"High",C3&gt;=100,"Medium",C3&lt;100,"Low")</f>
        <v>Medium</v>
      </c>
      <c r="L3" s="9" t="str">
        <f t="shared" ref="L3:L7" si="5">IF(AND(C3&gt;=150,E3="North"),"$500","$300")</f>
        <v>$300</v>
      </c>
      <c r="M3" s="14" t="str">
        <f t="shared" ref="M3:M7" si="6">IF(C3&gt;=PERCENTILE($C$2:$C$7,0.75),"High Performer","Low Performer")</f>
        <v>Low Performer</v>
      </c>
    </row>
    <row r="4" spans="1:13" x14ac:dyDescent="0.25">
      <c r="A4" s="10">
        <v>103</v>
      </c>
      <c r="B4" s="10" t="s">
        <v>4</v>
      </c>
      <c r="C4" s="10">
        <v>200</v>
      </c>
      <c r="D4" s="10">
        <v>200</v>
      </c>
      <c r="E4" s="10" t="s">
        <v>13</v>
      </c>
      <c r="F4" s="1" t="str">
        <f t="shared" si="0"/>
        <v>Target Achived</v>
      </c>
      <c r="G4" s="4" t="str">
        <f t="shared" ref="G4:G7" si="7">IF(C4&gt;200,"Eligble","Not Eligble")</f>
        <v>Not Eligble</v>
      </c>
      <c r="H4" s="5">
        <f t="shared" si="1"/>
        <v>20</v>
      </c>
      <c r="I4" s="6">
        <f t="shared" si="2"/>
        <v>20</v>
      </c>
      <c r="J4" s="7" t="str">
        <f t="shared" si="3"/>
        <v>Excellent</v>
      </c>
      <c r="K4" s="8" t="str">
        <f t="shared" si="4"/>
        <v>Medium</v>
      </c>
      <c r="L4" s="9" t="str">
        <f t="shared" si="5"/>
        <v>$300</v>
      </c>
      <c r="M4" s="14" t="str">
        <f t="shared" si="6"/>
        <v>High Performer</v>
      </c>
    </row>
    <row r="5" spans="1:13" x14ac:dyDescent="0.25">
      <c r="A5" s="10">
        <v>104</v>
      </c>
      <c r="B5" s="10" t="s">
        <v>5</v>
      </c>
      <c r="C5" s="10">
        <v>90</v>
      </c>
      <c r="D5" s="10">
        <v>100</v>
      </c>
      <c r="E5" s="10" t="s">
        <v>14</v>
      </c>
      <c r="F5" s="1" t="str">
        <f t="shared" si="0"/>
        <v>You failed</v>
      </c>
      <c r="G5" s="4" t="str">
        <f t="shared" si="7"/>
        <v>Not Eligble</v>
      </c>
      <c r="H5" s="5">
        <f t="shared" si="1"/>
        <v>4.5</v>
      </c>
      <c r="I5" s="6">
        <f t="shared" si="2"/>
        <v>4.5</v>
      </c>
      <c r="J5" s="7" t="str">
        <f t="shared" si="3"/>
        <v>Needs Improvement</v>
      </c>
      <c r="K5" s="8" t="str">
        <f t="shared" si="4"/>
        <v>Low</v>
      </c>
      <c r="L5" s="9" t="str">
        <f t="shared" si="5"/>
        <v>$300</v>
      </c>
      <c r="M5" s="14" t="str">
        <f t="shared" si="6"/>
        <v>Low Performer</v>
      </c>
    </row>
    <row r="6" spans="1:13" x14ac:dyDescent="0.25">
      <c r="A6" s="10">
        <v>105</v>
      </c>
      <c r="B6" s="10" t="s">
        <v>6</v>
      </c>
      <c r="C6" s="10">
        <v>220</v>
      </c>
      <c r="D6" s="10">
        <v>210</v>
      </c>
      <c r="E6" s="10" t="s">
        <v>11</v>
      </c>
      <c r="F6" s="1" t="str">
        <f t="shared" si="0"/>
        <v>Target Achived</v>
      </c>
      <c r="G6" s="4" t="str">
        <f t="shared" si="7"/>
        <v>Eligble</v>
      </c>
      <c r="H6" s="5">
        <f t="shared" si="1"/>
        <v>22</v>
      </c>
      <c r="I6" s="6">
        <f t="shared" si="2"/>
        <v>22</v>
      </c>
      <c r="J6" s="7" t="str">
        <f t="shared" si="3"/>
        <v>Excellent</v>
      </c>
      <c r="K6" s="8" t="str">
        <f t="shared" si="4"/>
        <v>High</v>
      </c>
      <c r="L6" s="9" t="str">
        <f t="shared" si="5"/>
        <v>$500</v>
      </c>
      <c r="M6" s="14" t="str">
        <f t="shared" si="6"/>
        <v>High Performer</v>
      </c>
    </row>
    <row r="7" spans="1:13" x14ac:dyDescent="0.25">
      <c r="A7" s="10">
        <v>106</v>
      </c>
      <c r="B7" s="10" t="s">
        <v>7</v>
      </c>
      <c r="C7" s="10">
        <v>130</v>
      </c>
      <c r="D7" s="10">
        <v>160</v>
      </c>
      <c r="E7" s="10" t="s">
        <v>12</v>
      </c>
      <c r="F7" s="1" t="str">
        <f t="shared" si="0"/>
        <v>You failed</v>
      </c>
      <c r="G7" s="4" t="str">
        <f t="shared" si="7"/>
        <v>Not Eligble</v>
      </c>
      <c r="H7" s="5">
        <f t="shared" si="1"/>
        <v>6.5</v>
      </c>
      <c r="I7" s="6">
        <f t="shared" si="2"/>
        <v>6.5</v>
      </c>
      <c r="J7" s="7" t="str">
        <f t="shared" si="3"/>
        <v>Needs Improvement</v>
      </c>
      <c r="K7" s="8" t="str">
        <f t="shared" si="4"/>
        <v>Medium</v>
      </c>
      <c r="L7" s="9" t="str">
        <f t="shared" si="5"/>
        <v>$300</v>
      </c>
      <c r="M7" s="14" t="str">
        <f t="shared" si="6"/>
        <v>Low Performer</v>
      </c>
    </row>
    <row r="10" spans="1:13" x14ac:dyDescent="0.25">
      <c r="A10" s="11" t="s">
        <v>15</v>
      </c>
      <c r="B10" s="11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2"/>
    </row>
    <row r="11" spans="1:13" x14ac:dyDescent="0.25">
      <c r="A11" s="13" t="s">
        <v>16</v>
      </c>
      <c r="B11" s="13"/>
      <c r="C11" s="13"/>
      <c r="D11" s="13"/>
      <c r="E11" s="13"/>
      <c r="F11" s="13"/>
      <c r="G11" s="13"/>
      <c r="H11" s="13"/>
      <c r="I11" s="13"/>
      <c r="J11" s="13"/>
      <c r="K11" s="12"/>
      <c r="L11" s="12"/>
      <c r="M11" s="12"/>
    </row>
    <row r="12" spans="1:13" x14ac:dyDescent="0.25">
      <c r="A12" s="11" t="s">
        <v>17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25">
      <c r="A13" s="11" t="s">
        <v>18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2"/>
      <c r="M13" s="12"/>
    </row>
    <row r="14" spans="1:13" x14ac:dyDescent="0.25">
      <c r="A14" s="11" t="s">
        <v>19</v>
      </c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2"/>
      <c r="M14" s="12"/>
    </row>
    <row r="15" spans="1:13" x14ac:dyDescent="0.25">
      <c r="A15" s="11" t="s">
        <v>20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x14ac:dyDescent="0.25">
      <c r="A16" s="11" t="s">
        <v>21</v>
      </c>
      <c r="B16" s="11"/>
      <c r="C16" s="11"/>
      <c r="D16" s="11"/>
      <c r="E16" s="11"/>
      <c r="F16" s="11"/>
      <c r="G16" s="11"/>
      <c r="H16" s="11"/>
      <c r="I16" s="11"/>
      <c r="J16" s="11"/>
      <c r="K16" s="12"/>
      <c r="L16" s="12"/>
      <c r="M16" s="12"/>
    </row>
    <row r="17" spans="1:13" x14ac:dyDescent="0.25">
      <c r="A17" s="11" t="s">
        <v>22</v>
      </c>
      <c r="B17" s="11"/>
      <c r="C17" s="11"/>
      <c r="D17" s="11"/>
      <c r="E17" s="11"/>
      <c r="F17" s="11"/>
      <c r="G17" s="11"/>
      <c r="H17" s="11"/>
      <c r="I17" s="11"/>
      <c r="J17" s="12"/>
      <c r="K17" s="12"/>
      <c r="L17" s="12"/>
      <c r="M17" s="12"/>
    </row>
  </sheetData>
  <mergeCells count="8">
    <mergeCell ref="A16:J16"/>
    <mergeCell ref="A17:I17"/>
    <mergeCell ref="A10:G10"/>
    <mergeCell ref="A11:J11"/>
    <mergeCell ref="A12:M12"/>
    <mergeCell ref="A13:J13"/>
    <mergeCell ref="A14:J14"/>
    <mergeCell ref="A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2026-02-24T06:11:14Z</dcterms:created>
  <dcterms:modified xsi:type="dcterms:W3CDTF">2026-02-25T15:36:37Z</dcterms:modified>
</cp:coreProperties>
</file>