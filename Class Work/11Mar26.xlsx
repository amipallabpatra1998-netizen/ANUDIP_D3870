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3B815C7D-0869-43E5-93E2-732846B98A1E}" xr6:coauthVersionLast="47" xr6:coauthVersionMax="47" xr10:uidLastSave="{00000000-0000-0000-0000-000000000000}"/>
  <bookViews>
    <workbookView xWindow="-120" yWindow="-120" windowWidth="20730" windowHeight="11160" xr2:uid="{EA724C62-79EA-4F23-8AD3-D62887B0A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" i="1" l="1"/>
  <c r="U18" i="1"/>
  <c r="V18" i="1"/>
  <c r="W18" i="1"/>
  <c r="X18" i="1"/>
  <c r="Y18" i="1"/>
  <c r="Z18" i="1"/>
  <c r="AA18" i="1"/>
  <c r="AB18" i="1"/>
  <c r="AC18" i="1"/>
  <c r="S18" i="1"/>
  <c r="T12" i="1"/>
  <c r="S12" i="1"/>
  <c r="T7" i="1"/>
  <c r="S7" i="1"/>
  <c r="P22" i="1"/>
  <c r="P19" i="1"/>
  <c r="P15" i="1"/>
  <c r="P7" i="1"/>
  <c r="P11" i="1"/>
</calcChain>
</file>

<file path=xl/sharedStrings.xml><?xml version="1.0" encoding="utf-8"?>
<sst xmlns="http://schemas.openxmlformats.org/spreadsheetml/2006/main" count="645" uniqueCount="147">
  <si>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</si>
  <si>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</si>
  <si>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</si>
  <si>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</si>
  <si>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</si>
  <si>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</si>
  <si>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</si>
  <si>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</si>
  <si>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</si>
  <si>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</si>
  <si>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</si>
  <si>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</si>
  <si>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</si>
  <si>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</si>
  <si>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</si>
  <si>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</si>
  <si>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</si>
  <si>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</si>
  <si>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</si>
  <si>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</si>
  <si>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</si>
  <si>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</si>
  <si>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</si>
  <si>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</si>
  <si>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</si>
  <si>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</si>
  <si>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</si>
  <si>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</si>
  <si>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</si>
  <si>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</si>
  <si>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</si>
  <si>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</si>
  <si>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</si>
  <si>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</si>
  <si>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</si>
  <si>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</si>
  <si>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</si>
  <si>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</si>
  <si>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</si>
  <si>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</si>
  <si>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</si>
  <si>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</si>
  <si>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</si>
  <si>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</si>
  <si>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</si>
  <si>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</si>
  <si>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</si>
  <si>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</si>
  <si>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</si>
  <si>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</si>
  <si>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</si>
  <si>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</si>
  <si>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</si>
  <si>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</si>
  <si>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</si>
  <si>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</si>
  <si>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</si>
  <si>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</si>
  <si>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</si>
  <si>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</si>
  <si>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</si>
  <si>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</si>
  <si>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</si>
  <si>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</si>
  <si>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</si>
  <si>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</si>
  <si>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</si>
  <si>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</si>
  <si>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</si>
  <si>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</si>
  <si>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</si>
  <si>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</si>
  <si>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</si>
  <si>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</si>
  <si>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</si>
  <si>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</si>
  <si>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</si>
  <si>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</si>
  <si>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</si>
  <si>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</si>
  <si>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</si>
  <si>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</si>
  <si>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</si>
  <si>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</si>
  <si>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</si>
  <si>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</si>
  <si>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</si>
  <si>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</si>
  <si>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</si>
  <si>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</si>
  <si>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</si>
  <si>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</si>
  <si>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</si>
  <si>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</si>
  <si>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</si>
  <si>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</si>
  <si>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</si>
  <si>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</si>
  <si>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</si>
  <si>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</si>
  <si>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</si>
  <si>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</si>
  <si>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</si>
  <si>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</si>
  <si>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</si>
  <si>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</si>
  <si>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</si>
  <si>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</si>
  <si>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</si>
  <si>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</si>
  <si>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</si>
  <si>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</si>
  <si>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</si>
  <si>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</si>
  <si>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</si>
  <si>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</si>
  <si>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</si>
  <si>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</si>
  <si>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</si>
  <si>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</si>
  <si>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</si>
  <si>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</si>
  <si>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</si>
  <si>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</si>
  <si>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</si>
  <si>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</si>
  <si>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</si>
  <si>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</si>
  <si>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</si>
  <si>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</si>
  <si>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</si>
  <si>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</si>
  <si>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</si>
  <si>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</si>
  <si>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</si>
  <si>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</si>
  <si>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</si>
  <si>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</si>
  <si>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</si>
  <si>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</si>
  <si>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</si>
  <si>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</si>
  <si>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</si>
  <si>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</si>
  <si>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Row No.</t>
  </si>
  <si>
    <t>Column No.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</si>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</sst>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21BF-C8E3-4C23-9890-31D3B285FBF4}">
  <dimension ref="A1:AC101"/>
  <sheetViews>
    <sheetView tabSelected="1" topLeftCell="O6" workbookViewId="0">
      <selection activeCell="S18" sqref="S18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710937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7109375" bestFit="1" customWidth="1"/>
    <col min="14" max="14" width="9.5703125" bestFit="1" customWidth="1"/>
    <col min="15" max="15" width="11.42578125" bestFit="1" customWidth="1"/>
    <col min="16" max="16" width="12.85546875" bestFit="1" customWidth="1"/>
    <col min="18" max="19" width="10.7109375" bestFit="1" customWidth="1"/>
    <col min="20" max="20" width="15.42578125" bestFit="1" customWidth="1"/>
    <col min="21" max="21" width="10.42578125" bestFit="1" customWidth="1"/>
    <col min="22" max="22" width="14.5703125" bestFit="1" customWidth="1"/>
    <col min="23" max="23" width="12.85546875" bestFit="1" customWidth="1"/>
    <col min="24" max="28" width="10.42578125" bestFit="1" customWidth="1"/>
    <col min="29" max="29" width="14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0" x14ac:dyDescent="0.2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20" x14ac:dyDescent="0.2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20" x14ac:dyDescent="0.2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20" x14ac:dyDescent="0.2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20" x14ac:dyDescent="0.2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  <c r="O6" s="1" t="s">
        <v>142</v>
      </c>
      <c r="P6" s="1" t="s">
        <v>143</v>
      </c>
      <c r="R6" s="1" t="s">
        <v>1</v>
      </c>
      <c r="S6" s="1" t="s">
        <v>9</v>
      </c>
      <c r="T6" s="1" t="s">
        <v>0</v>
      </c>
    </row>
    <row r="7" spans="1:20" x14ac:dyDescent="0.2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  <c r="O7" s="2">
        <v>10</v>
      </c>
      <c r="P7" s="2" t="str">
        <f>INDEX(A1:A101,O7)</f>
        <v>ORD-1008</v>
      </c>
      <c r="R7" s="3">
        <v>45048</v>
      </c>
      <c r="S7" s="2">
        <f>INDEX(J1:J101,MATCH(R7,B1:B101,0))</f>
        <v>2600.9299999999998</v>
      </c>
      <c r="T7" s="2" t="str">
        <f>INDEX(A1:A101,MATCH(R7,B1:B101,0))</f>
        <v>ORD-1008</v>
      </c>
    </row>
    <row r="8" spans="1:20" x14ac:dyDescent="0.2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20" x14ac:dyDescent="0.2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20" x14ac:dyDescent="0.2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  <c r="O10" s="1" t="s">
        <v>142</v>
      </c>
      <c r="P10" s="1" t="s">
        <v>143</v>
      </c>
    </row>
    <row r="11" spans="1:20" x14ac:dyDescent="0.2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  <c r="O11" s="2">
        <v>6</v>
      </c>
      <c r="P11" s="2" t="str">
        <f>INDEX(A1:L1,,O11)</f>
        <v>Sub-Category</v>
      </c>
      <c r="R11" s="1" t="s">
        <v>0</v>
      </c>
      <c r="S11" s="1" t="s">
        <v>10</v>
      </c>
      <c r="T11" s="1" t="s">
        <v>11</v>
      </c>
    </row>
    <row r="12" spans="1:20" x14ac:dyDescent="0.2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  <c r="R12" s="2" t="s">
        <v>60</v>
      </c>
      <c r="S12" s="2">
        <f>INDEX(K1:K101,MATCH(R12,A1:A101,0))</f>
        <v>1185.21</v>
      </c>
      <c r="T12" s="2" t="str">
        <f>INDEX(L1:L101,MATCH(R12,A1:A101,0))</f>
        <v>Cash</v>
      </c>
    </row>
    <row r="13" spans="1:20" x14ac:dyDescent="0.2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20" x14ac:dyDescent="0.2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  <c r="N14" s="1" t="s">
        <v>144</v>
      </c>
      <c r="O14" s="1" t="s">
        <v>145</v>
      </c>
      <c r="P14" s="1" t="s">
        <v>143</v>
      </c>
    </row>
    <row r="15" spans="1:20" x14ac:dyDescent="0.2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  <c r="N15" s="2">
        <v>6</v>
      </c>
      <c r="O15" s="2">
        <v>5</v>
      </c>
      <c r="P15" s="2" t="str">
        <f>INDEX(A1:L101,N15,O15)</f>
        <v>Furniture</v>
      </c>
    </row>
    <row r="16" spans="1:20" x14ac:dyDescent="0.2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29" x14ac:dyDescent="0.2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  <c r="R17" s="1" t="s">
        <v>0</v>
      </c>
      <c r="S17" s="1" t="s">
        <v>1</v>
      </c>
      <c r="T17" s="1" t="s">
        <v>2</v>
      </c>
      <c r="U17" s="1" t="s">
        <v>3</v>
      </c>
      <c r="V17" s="1" t="s">
        <v>4</v>
      </c>
      <c r="W17" s="1" t="s">
        <v>5</v>
      </c>
      <c r="X17" s="1" t="s">
        <v>6</v>
      </c>
      <c r="Y17" s="1" t="s">
        <v>7</v>
      </c>
      <c r="Z17" s="1" t="s">
        <v>8</v>
      </c>
      <c r="AA17" s="1" t="s">
        <v>9</v>
      </c>
      <c r="AB17" s="1" t="s">
        <v>10</v>
      </c>
      <c r="AC17" s="1" t="s">
        <v>11</v>
      </c>
    </row>
    <row r="18" spans="1:29" x14ac:dyDescent="0.2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  <c r="O18" s="1" t="s">
        <v>143</v>
      </c>
      <c r="P18" s="1" t="s">
        <v>146</v>
      </c>
      <c r="R18" s="2" t="s">
        <v>46</v>
      </c>
      <c r="S18" s="3">
        <f>INDEX(B$1:B$101,MATCH($R$18,$A$1:$A$101,0))</f>
        <v>45257</v>
      </c>
      <c r="T18" s="3" t="str">
        <f t="shared" ref="T18:AC18" si="0">INDEX(C$1:C$101,MATCH($R$18,$A$1:$A$101,0))</f>
        <v>Amit</v>
      </c>
      <c r="U18" s="3" t="str">
        <f t="shared" si="0"/>
        <v>East</v>
      </c>
      <c r="V18" s="3" t="str">
        <f t="shared" si="0"/>
        <v>Technology</v>
      </c>
      <c r="W18" s="3" t="str">
        <f t="shared" si="0"/>
        <v>Printers</v>
      </c>
      <c r="X18" s="4">
        <f t="shared" si="0"/>
        <v>2</v>
      </c>
      <c r="Y18" s="4">
        <f t="shared" si="0"/>
        <v>1453.31</v>
      </c>
      <c r="Z18" s="4">
        <f t="shared" si="0"/>
        <v>0.2</v>
      </c>
      <c r="AA18" s="4">
        <f t="shared" si="0"/>
        <v>2325.3000000000002</v>
      </c>
      <c r="AB18" s="4">
        <f t="shared" si="0"/>
        <v>281.85000000000002</v>
      </c>
      <c r="AC18" s="3" t="str">
        <f t="shared" si="0"/>
        <v>Credit Card</v>
      </c>
    </row>
    <row r="19" spans="1:29" x14ac:dyDescent="0.2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  <c r="O19" s="2" t="s">
        <v>7</v>
      </c>
      <c r="P19" s="2">
        <f>MATCH(O19,A1:L1,0)</f>
        <v>8</v>
      </c>
    </row>
    <row r="20" spans="1:29" x14ac:dyDescent="0.2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29" x14ac:dyDescent="0.2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  <c r="O21" s="1" t="s">
        <v>143</v>
      </c>
      <c r="P21" s="1" t="s">
        <v>146</v>
      </c>
    </row>
    <row r="22" spans="1:29" x14ac:dyDescent="0.2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  <c r="O22" s="2" t="s">
        <v>57</v>
      </c>
      <c r="P22" s="2">
        <f>MATCH(O22,A1:A101,0)</f>
        <v>19</v>
      </c>
    </row>
    <row r="23" spans="1:29" x14ac:dyDescent="0.2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29" x14ac:dyDescent="0.2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29" x14ac:dyDescent="0.2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29" x14ac:dyDescent="0.2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29" x14ac:dyDescent="0.2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29" x14ac:dyDescent="0.2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29" x14ac:dyDescent="0.2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29" x14ac:dyDescent="0.2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29" x14ac:dyDescent="0.2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29" x14ac:dyDescent="0.2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2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2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2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2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2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2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2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2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2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2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2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2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2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2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2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2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2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2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2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2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2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2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2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2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2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2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2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2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2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2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2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2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2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2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2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2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2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2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2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2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2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2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2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2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2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2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2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2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2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2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2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2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2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2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2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2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2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2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2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2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2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2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2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2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2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2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2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2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2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2026-03-11T05:26:22Z</dcterms:created>
  <dcterms:modified xsi:type="dcterms:W3CDTF">2026-03-12T06:41:08Z</dcterms:modified>
</cp:coreProperties>
</file>