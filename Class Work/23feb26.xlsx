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AA177398-EC1F-4F08-BE38-4C8509322F3B}" xr6:coauthVersionLast="47" xr6:coauthVersionMax="47" xr10:uidLastSave="{00000000-0000-0000-0000-000000000000}"/>
  <bookViews>
    <workbookView xWindow="-120" yWindow="-120" windowWidth="20730" windowHeight="11160" xr2:uid="{BA1BDB96-AA65-4E69-9488-A3A7584AB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0" i="1" l="1"/>
  <c r="V41" i="1"/>
  <c r="V42" i="1"/>
  <c r="V43" i="1"/>
  <c r="V39" i="1"/>
  <c r="U36" i="1"/>
  <c r="V32" i="1"/>
  <c r="U29" i="1"/>
  <c r="V27" i="1"/>
  <c r="V24" i="1"/>
  <c r="W21" i="1"/>
  <c r="W18" i="1"/>
  <c r="O2" i="1"/>
  <c r="P2" i="1"/>
  <c r="W4" i="1"/>
  <c r="X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</calcChain>
</file>

<file path=xl/sharedStrings.xml><?xml version="1.0" encoding="utf-8"?>
<sst xmlns="http://schemas.openxmlformats.org/spreadsheetml/2006/main" count="2652" uniqueCount="84">
  <si>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</si>
  <si>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</si>
  <si>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</si>
  <si>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</si>
  <si>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</si>
  <si>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</si>
  <si>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</si>
  <si>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</si>
  <si>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</si>
  <si>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</si>
  <si>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</si>
  <si>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</si>
  <si>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</si>
  <si>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</si>
  <si>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</si>
  <si>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</si>
  <si>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</si>
  <si>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</si>
  <si>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</si>
  <si>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</si>
  <si>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</si>
  <si>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</si>
  <si>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</si>
  <si>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</si>
  <si>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</si>
  <si>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</si>
  <si>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</si>
  <si>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</si>
  <si>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</si>
  <si>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</si>
  <si>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</si>
  <si>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</si>
  <si>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</si>
  <si>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</si>
  <si>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</si>
  <si>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</si>
  <si>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</si>
  <si>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</si>
  <si>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</si>
  <si>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</si>
  <si>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</si>
  <si>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</si>
  <si>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</si>
  <si>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</si>
  <si>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</si>
  <si>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</si>
  <si>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</si>
  <si>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</si>
  <si>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</si>
  <si>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</si>
  <si>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</si>
  <si>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</si>
  <si>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</si>
  <si>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</si>
  <si>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</si>
  <si>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</si>
  <si>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</si>
  <si>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</si>
  <si>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</si>
  <si>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</si>
  <si>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</si>
  <si>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</si>
  <si>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</si>
  <si>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</si>
  <si>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</si>
  <si>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</si>
  <si>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</si>
  <si>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</si>
  <si>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</si>
  <si>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</si>
  <si>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</si>
  <si>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 Category</t>
  </si>
  <si>
    <t>Unit Category</t>
  </si>
  <si>
    <t>Total unit sold</t>
  </si>
  <si>
    <t>Total Unit sold</t>
  </si>
  <si>
    <t>Brand Name</t>
  </si>
  <si>
    <t>Average  unit price</t>
  </si>
  <si>
    <t>Average Price</t>
  </si>
  <si>
    <t>Average unit Price</t>
  </si>
  <si>
    <t>Home &amp; kitchen</t>
  </si>
  <si>
    <t>Product category</t>
  </si>
  <si>
    <t>Count</t>
  </si>
  <si>
    <t>Total Sale Amount</t>
  </si>
  <si>
    <t>Total sale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</si>
</sst>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4310-DA07-4283-9998-AF8370B2028A}">
  <dimension ref="A1:X373"/>
  <sheetViews>
    <sheetView tabSelected="1" topLeftCell="I23" workbookViewId="0">
      <selection activeCell="V37" sqref="V37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4" width="10.710937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0.28515625" bestFit="1" customWidth="1"/>
    <col min="16" max="16" width="13.85546875" bestFit="1" customWidth="1"/>
    <col min="17" max="17" width="17.28515625" bestFit="1" customWidth="1"/>
    <col min="18" max="18" width="13.28515625" bestFit="1" customWidth="1"/>
    <col min="20" max="20" width="17.42578125" bestFit="1" customWidth="1"/>
    <col min="21" max="21" width="17.28515625" bestFit="1" customWidth="1"/>
    <col min="22" max="22" width="17.85546875" bestFit="1" customWidth="1"/>
    <col min="23" max="23" width="13.85546875" bestFit="1" customWidth="1"/>
  </cols>
  <sheetData>
    <row r="1" spans="1:2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4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M2*L2</f>
        <v>19907.09</v>
      </c>
      <c r="P2" s="1" t="str">
        <f>IF(O2&gt;=15000,"High Price","Low Price")</f>
        <v>High Price</v>
      </c>
      <c r="Q2" s="1" t="str">
        <f>_xlfn.IFS(N2&gt;=10,"High",N2&gt;=5,"Medium",N2&lt;5,"Low")</f>
        <v>Low</v>
      </c>
      <c r="R2" s="1" t="str">
        <f>IF(L2&gt;8,"High",IF(L2&gt;4,"Medium","Low"))</f>
        <v>Medium</v>
      </c>
    </row>
    <row r="3" spans="1:24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M3*L3</f>
        <v>22727.07</v>
      </c>
      <c r="P3" s="1" t="str">
        <f t="shared" ref="P3:P66" si="1">IF(O3&gt;=15000,"High Price","Low Price")</f>
        <v>High Price</v>
      </c>
      <c r="Q3" s="1" t="str">
        <f t="shared" ref="Q3:Q66" si="2">_xlfn.IFS(N3&gt;=10,"High",N3&gt;=5,"Medium",N3&lt;5,"Low")</f>
        <v>Medium</v>
      </c>
      <c r="R3" s="1" t="str">
        <f t="shared" ref="R3:R66" si="3">IF(L3&gt;8,"High",IF(L3&gt;4,"Medium","Low"))</f>
        <v>High</v>
      </c>
    </row>
    <row r="4" spans="1:24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>
        <f t="shared" si="2"/>
        <v>High</v>
      </c>
      <c r="R4" s="1" t="str">
        <f t="shared" si="3"/>
        <v>Medium</v>
      </c>
      <c r="V4" s="1" t="s">
        <v>73</v>
      </c>
      <c r="W4" s="1">
        <f>SUM(L2:L373)</f>
        <v>1837</v>
      </c>
    </row>
    <row r="5" spans="1:24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>
        <f t="shared" si="2"/>
        <v>High</v>
      </c>
      <c r="R5" s="1" t="str">
        <f t="shared" si="3"/>
        <v>Low</v>
      </c>
    </row>
    <row r="6" spans="1:24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>
        <f t="shared" si="2"/>
        <v>High</v>
      </c>
      <c r="R6" s="1" t="str">
        <f t="shared" si="3"/>
        <v>Medium</v>
      </c>
    </row>
    <row r="7" spans="1:24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>
        <f t="shared" si="2"/>
        <v>High</v>
      </c>
      <c r="R7" s="1" t="str">
        <f t="shared" si="3"/>
        <v>Low</v>
      </c>
      <c r="V7" s="1" t="s">
        <v>46</v>
      </c>
      <c r="W7" s="1" t="s">
        <v>74</v>
      </c>
      <c r="X7" s="1">
        <f>SUMIF(K2:K373,V7,L2:L373)</f>
        <v>354</v>
      </c>
    </row>
    <row r="8" spans="1:24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>
        <f t="shared" si="2"/>
        <v>High</v>
      </c>
      <c r="R8" s="1" t="str">
        <f t="shared" si="3"/>
        <v>Medium</v>
      </c>
    </row>
    <row r="9" spans="1:24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>
        <f t="shared" si="2"/>
        <v>High</v>
      </c>
      <c r="R9" s="1" t="str">
        <f t="shared" si="3"/>
        <v>Low</v>
      </c>
    </row>
    <row r="10" spans="1:24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>
        <f t="shared" si="2"/>
        <v>High</v>
      </c>
      <c r="R10" s="1" t="str">
        <f t="shared" si="3"/>
        <v>Medium</v>
      </c>
    </row>
    <row r="11" spans="1:24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>
        <f t="shared" si="2"/>
        <v>High</v>
      </c>
      <c r="R11" s="1" t="str">
        <f t="shared" si="3"/>
        <v>Medium</v>
      </c>
    </row>
    <row r="12" spans="1:24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>
        <f t="shared" si="2"/>
        <v>Low</v>
      </c>
      <c r="R12" s="1" t="str">
        <f t="shared" si="3"/>
        <v>Medium</v>
      </c>
    </row>
    <row r="13" spans="1:24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>
        <f t="shared" si="2"/>
        <v>Medium</v>
      </c>
      <c r="R13" s="1" t="str">
        <f t="shared" si="3"/>
        <v>Medium</v>
      </c>
    </row>
    <row r="14" spans="1:24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>
        <f t="shared" si="2"/>
        <v>Low</v>
      </c>
      <c r="R14" s="1" t="str">
        <f t="shared" si="3"/>
        <v>Medium</v>
      </c>
    </row>
    <row r="15" spans="1:24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>
        <f t="shared" si="2"/>
        <v>High</v>
      </c>
      <c r="R15" s="1" t="str">
        <f t="shared" si="3"/>
        <v>Medium</v>
      </c>
    </row>
    <row r="16" spans="1:24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>
        <f t="shared" si="2"/>
        <v>High</v>
      </c>
      <c r="R16" s="1" t="str">
        <f t="shared" si="3"/>
        <v>High</v>
      </c>
    </row>
    <row r="17" spans="1:23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>
        <f t="shared" si="2"/>
        <v>Medium</v>
      </c>
      <c r="R17" s="1" t="str">
        <f t="shared" si="3"/>
        <v>Medium</v>
      </c>
      <c r="U17" s="1" t="s">
        <v>8</v>
      </c>
      <c r="V17" s="1" t="s">
        <v>75</v>
      </c>
      <c r="W17" s="1" t="s">
        <v>74</v>
      </c>
    </row>
    <row r="18" spans="1:23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>
        <f t="shared" si="2"/>
        <v>High</v>
      </c>
      <c r="R18" s="1" t="str">
        <f t="shared" si="3"/>
        <v>Low</v>
      </c>
      <c r="U18" s="1" t="s">
        <v>18</v>
      </c>
      <c r="V18" s="1" t="s">
        <v>20</v>
      </c>
      <c r="W18" s="1">
        <f>SUMIFS(L2:L373,I2:I373,U18,K2:K373,V18)</f>
        <v>39</v>
      </c>
    </row>
    <row r="19" spans="1:23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>
        <f t="shared" si="2"/>
        <v>High</v>
      </c>
      <c r="R19" s="1" t="str">
        <f t="shared" si="3"/>
        <v>Low</v>
      </c>
    </row>
    <row r="20" spans="1:23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>
        <f t="shared" si="2"/>
        <v>High</v>
      </c>
      <c r="R20" s="1" t="str">
        <f t="shared" si="3"/>
        <v>Low</v>
      </c>
    </row>
    <row r="21" spans="1:23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>
        <f t="shared" si="2"/>
        <v>Medium</v>
      </c>
      <c r="R21" s="1" t="str">
        <f t="shared" si="3"/>
        <v>Low</v>
      </c>
      <c r="V21" s="1" t="s">
        <v>76</v>
      </c>
      <c r="W21" s="1">
        <f>AVERAGE(M2:M373)</f>
        <v>2001.1641935483883</v>
      </c>
    </row>
    <row r="22" spans="1:23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>
        <f t="shared" si="2"/>
        <v>Medium</v>
      </c>
      <c r="R22" s="1" t="str">
        <f t="shared" si="3"/>
        <v>Low</v>
      </c>
    </row>
    <row r="23" spans="1:23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>
        <f t="shared" si="2"/>
        <v>High</v>
      </c>
      <c r="R23" s="1" t="str">
        <f t="shared" si="3"/>
        <v>Medium</v>
      </c>
      <c r="U23" s="1" t="s">
        <v>75</v>
      </c>
      <c r="V23" s="1" t="s">
        <v>77</v>
      </c>
    </row>
    <row r="24" spans="1:23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>
        <f t="shared" si="2"/>
        <v>High</v>
      </c>
      <c r="R24" s="1" t="str">
        <f t="shared" si="3"/>
        <v>Low</v>
      </c>
      <c r="U24" s="1" t="s">
        <v>20</v>
      </c>
      <c r="V24" s="1">
        <f>AVERAGEIF(K2:K373,U24,M2:M373)</f>
        <v>2036.1770666666666</v>
      </c>
    </row>
    <row r="25" spans="1:23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>
        <f t="shared" si="2"/>
        <v>Low</v>
      </c>
      <c r="R25" s="1" t="str">
        <f t="shared" si="3"/>
        <v>Low</v>
      </c>
    </row>
    <row r="26" spans="1:23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>
        <f t="shared" si="2"/>
        <v>Medium</v>
      </c>
      <c r="R26" s="1" t="str">
        <f t="shared" si="3"/>
        <v>Medium</v>
      </c>
      <c r="T26" s="1" t="s">
        <v>8</v>
      </c>
      <c r="U26" s="1" t="s">
        <v>75</v>
      </c>
      <c r="V26" s="1" t="s">
        <v>78</v>
      </c>
    </row>
    <row r="27" spans="1:23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>
        <f t="shared" si="2"/>
        <v>Medium</v>
      </c>
      <c r="R27" s="1" t="str">
        <f t="shared" si="3"/>
        <v>High</v>
      </c>
      <c r="T27" s="1" t="s">
        <v>79</v>
      </c>
      <c r="U27" s="1" t="s">
        <v>20</v>
      </c>
      <c r="V27" s="1">
        <f>AVERAGEIFS(O2:O373,I2:I373,T27,K2:K373,U27)</f>
        <v>17983.055</v>
      </c>
    </row>
    <row r="28" spans="1:23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>
        <f t="shared" si="2"/>
        <v>Medium</v>
      </c>
      <c r="R28" s="1" t="str">
        <f t="shared" si="3"/>
        <v>Low</v>
      </c>
    </row>
    <row r="29" spans="1:23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>
        <f t="shared" si="2"/>
        <v>High</v>
      </c>
      <c r="R29" s="1" t="str">
        <f t="shared" si="3"/>
        <v>Medium</v>
      </c>
      <c r="T29" s="1" t="s">
        <v>20</v>
      </c>
      <c r="U29" s="1">
        <f>COUNTIF(K2:K373,T29)</f>
        <v>75</v>
      </c>
    </row>
    <row r="30" spans="1:23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>
        <f t="shared" si="2"/>
        <v>High</v>
      </c>
      <c r="R30" s="1" t="str">
        <f t="shared" si="3"/>
        <v>Low</v>
      </c>
    </row>
    <row r="31" spans="1:23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>
        <f t="shared" si="2"/>
        <v>High</v>
      </c>
      <c r="R31" s="1" t="str">
        <f t="shared" si="3"/>
        <v>Low</v>
      </c>
      <c r="T31" s="1" t="s">
        <v>80</v>
      </c>
      <c r="U31" s="1" t="s">
        <v>75</v>
      </c>
      <c r="V31" s="1" t="s">
        <v>81</v>
      </c>
    </row>
    <row r="32" spans="1:23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>
        <f t="shared" si="2"/>
        <v>High</v>
      </c>
      <c r="R32" s="1" t="str">
        <f t="shared" si="3"/>
        <v>Medium</v>
      </c>
      <c r="T32" s="1" t="s">
        <v>79</v>
      </c>
      <c r="U32" s="1" t="s">
        <v>20</v>
      </c>
      <c r="V32" s="1">
        <f>COUNTIFS(I2:I373,T32,K2:K373,U32)</f>
        <v>6</v>
      </c>
    </row>
    <row r="33" spans="1:22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>
        <f t="shared" si="2"/>
        <v>Medium</v>
      </c>
      <c r="R33" s="1" t="str">
        <f t="shared" si="3"/>
        <v>Low</v>
      </c>
    </row>
    <row r="34" spans="1:22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>
        <f t="shared" si="2"/>
        <v>High</v>
      </c>
      <c r="R34" s="1" t="str">
        <f t="shared" si="3"/>
        <v>Medium</v>
      </c>
    </row>
    <row r="35" spans="1:22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>
        <f t="shared" si="2"/>
        <v>Low</v>
      </c>
      <c r="R35" s="1" t="str">
        <f t="shared" si="3"/>
        <v>Medium</v>
      </c>
    </row>
    <row r="36" spans="1:22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>
        <f t="shared" si="2"/>
        <v>Medium</v>
      </c>
      <c r="R36" s="1" t="str">
        <f t="shared" si="3"/>
        <v>Medium</v>
      </c>
      <c r="T36" s="1" t="s">
        <v>82</v>
      </c>
      <c r="U36" s="1">
        <f>SUMPRODUCT(L2:L373,M2:M373)</f>
        <v>3664518.5400000005</v>
      </c>
    </row>
    <row r="37" spans="1:22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>
        <f t="shared" si="2"/>
        <v>Low</v>
      </c>
      <c r="R37" s="1" t="str">
        <f t="shared" si="3"/>
        <v>Medium</v>
      </c>
    </row>
    <row r="38" spans="1:22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>
        <f t="shared" si="2"/>
        <v>Medium</v>
      </c>
      <c r="R38" s="1" t="str">
        <f t="shared" si="3"/>
        <v>Low</v>
      </c>
    </row>
    <row r="39" spans="1:22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>
        <f t="shared" si="2"/>
        <v>High</v>
      </c>
      <c r="R39" s="1" t="str">
        <f t="shared" si="3"/>
        <v>Medium</v>
      </c>
      <c r="T39" s="1" t="s">
        <v>20</v>
      </c>
      <c r="U39" s="1" t="s">
        <v>83</v>
      </c>
      <c r="V39" s="1">
        <f>SUMPRODUCT(L2:L373,M2:M373,--(K2:K373=T39))</f>
        <v>737855.54000000015</v>
      </c>
    </row>
    <row r="40" spans="1:22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>
        <f t="shared" si="2"/>
        <v>High</v>
      </c>
      <c r="R40" s="1" t="str">
        <f t="shared" si="3"/>
        <v>Medium</v>
      </c>
      <c r="T40" s="1" t="s">
        <v>46</v>
      </c>
      <c r="U40" s="1"/>
      <c r="V40" s="1">
        <f>SUMPRODUCT($L$3:$L$374,$M$3:$M$374,--(K3:K374=T40))</f>
        <v>754015.00999999989</v>
      </c>
    </row>
    <row r="41" spans="1:22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>
        <f t="shared" si="2"/>
        <v>High</v>
      </c>
      <c r="R41" s="1" t="str">
        <f t="shared" si="3"/>
        <v>Medium</v>
      </c>
      <c r="T41" s="1" t="s">
        <v>44</v>
      </c>
      <c r="U41" s="1"/>
      <c r="V41" s="1">
        <f>SUMPRODUCT($L$3:$L$374,$M$3:$M$374,--(K4:$K375=T41))</f>
        <v>751577.5299999998</v>
      </c>
    </row>
    <row r="42" spans="1:22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>
        <f t="shared" si="2"/>
        <v>Low</v>
      </c>
      <c r="R42" s="1" t="str">
        <f t="shared" si="3"/>
        <v>Medium</v>
      </c>
      <c r="T42" s="1" t="s">
        <v>27</v>
      </c>
      <c r="U42" s="1"/>
      <c r="V42" s="1">
        <f>SUMPRODUCT($L$3:$L$374,$M$3:$M$374,--(K5:$K376=T42))</f>
        <v>726798.14</v>
      </c>
    </row>
    <row r="43" spans="1:22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>
        <f t="shared" si="2"/>
        <v>High</v>
      </c>
      <c r="R43" s="1" t="str">
        <f t="shared" si="3"/>
        <v>Low</v>
      </c>
      <c r="T43" s="1" t="s">
        <v>32</v>
      </c>
      <c r="U43" s="1"/>
      <c r="V43" s="1">
        <f>SUMPRODUCT($L$3:$L$374,$M$3:$M$374,--(K6:$K377=T43))</f>
        <v>822344</v>
      </c>
    </row>
    <row r="44" spans="1:22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>
        <f t="shared" si="2"/>
        <v>High</v>
      </c>
      <c r="R44" s="1" t="str">
        <f t="shared" si="3"/>
        <v>Medium</v>
      </c>
    </row>
    <row r="45" spans="1:22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>
        <f t="shared" si="2"/>
        <v>High</v>
      </c>
      <c r="R45" s="1" t="str">
        <f t="shared" si="3"/>
        <v>Low</v>
      </c>
    </row>
    <row r="46" spans="1:22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>
        <f t="shared" si="2"/>
        <v>Low</v>
      </c>
      <c r="R46" s="1" t="str">
        <f t="shared" si="3"/>
        <v>Low</v>
      </c>
    </row>
    <row r="47" spans="1:22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>
        <f t="shared" si="2"/>
        <v>High</v>
      </c>
      <c r="R47" s="1" t="str">
        <f t="shared" si="3"/>
        <v>Medium</v>
      </c>
    </row>
    <row r="48" spans="1:22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>
        <f t="shared" si="2"/>
        <v>High</v>
      </c>
      <c r="R48" s="1" t="str">
        <f t="shared" si="3"/>
        <v>Low</v>
      </c>
    </row>
    <row r="49" spans="1:18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>
        <f t="shared" si="2"/>
        <v>Medium</v>
      </c>
      <c r="R49" s="1" t="str">
        <f t="shared" si="3"/>
        <v>Medium</v>
      </c>
    </row>
    <row r="50" spans="1:18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>
        <f t="shared" si="2"/>
        <v>High</v>
      </c>
      <c r="R50" s="1" t="str">
        <f t="shared" si="3"/>
        <v>Medium</v>
      </c>
    </row>
    <row r="51" spans="1:18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>
        <f t="shared" si="2"/>
        <v>High</v>
      </c>
      <c r="R51" s="1" t="str">
        <f t="shared" si="3"/>
        <v>Medium</v>
      </c>
    </row>
    <row r="52" spans="1:18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>
        <f t="shared" si="2"/>
        <v>Medium</v>
      </c>
      <c r="R52" s="1" t="str">
        <f t="shared" si="3"/>
        <v>Low</v>
      </c>
    </row>
    <row r="53" spans="1:18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>
        <f t="shared" si="2"/>
        <v>High</v>
      </c>
      <c r="R53" s="1" t="str">
        <f t="shared" si="3"/>
        <v>Medium</v>
      </c>
    </row>
    <row r="54" spans="1:18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>
        <f t="shared" si="2"/>
        <v>High</v>
      </c>
      <c r="R54" s="1" t="str">
        <f t="shared" si="3"/>
        <v>Medium</v>
      </c>
    </row>
    <row r="55" spans="1:18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>
        <f t="shared" si="2"/>
        <v>Medium</v>
      </c>
      <c r="R55" s="1" t="str">
        <f t="shared" si="3"/>
        <v>Low</v>
      </c>
    </row>
    <row r="56" spans="1:18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>
        <f t="shared" si="2"/>
        <v>High</v>
      </c>
      <c r="R56" s="1" t="str">
        <f t="shared" si="3"/>
        <v>Medium</v>
      </c>
    </row>
    <row r="57" spans="1:18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>
        <f t="shared" si="2"/>
        <v>High</v>
      </c>
      <c r="R57" s="1" t="str">
        <f t="shared" si="3"/>
        <v>High</v>
      </c>
    </row>
    <row r="58" spans="1:18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>
        <f t="shared" si="2"/>
        <v>Low</v>
      </c>
      <c r="R58" s="1" t="str">
        <f t="shared" si="3"/>
        <v>Medium</v>
      </c>
    </row>
    <row r="59" spans="1:18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>
        <f t="shared" si="2"/>
        <v>High</v>
      </c>
      <c r="R59" s="1" t="str">
        <f t="shared" si="3"/>
        <v>Medium</v>
      </c>
    </row>
    <row r="60" spans="1:18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>
        <f t="shared" si="2"/>
        <v>High</v>
      </c>
      <c r="R60" s="1" t="str">
        <f t="shared" si="3"/>
        <v>Medium</v>
      </c>
    </row>
    <row r="61" spans="1:18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>
        <f t="shared" si="2"/>
        <v>High</v>
      </c>
      <c r="R61" s="1" t="str">
        <f t="shared" si="3"/>
        <v>Medium</v>
      </c>
    </row>
    <row r="62" spans="1:18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>
        <f t="shared" si="2"/>
        <v>High</v>
      </c>
      <c r="R62" s="1" t="str">
        <f t="shared" si="3"/>
        <v>Low</v>
      </c>
    </row>
    <row r="63" spans="1:18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>
        <f t="shared" si="2"/>
        <v>High</v>
      </c>
      <c r="R63" s="1" t="str">
        <f t="shared" si="3"/>
        <v>Low</v>
      </c>
    </row>
    <row r="64" spans="1:18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>
        <f t="shared" si="2"/>
        <v>Medium</v>
      </c>
      <c r="R64" s="1" t="str">
        <f t="shared" si="3"/>
        <v>Medium</v>
      </c>
    </row>
    <row r="65" spans="1:18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>
        <f t="shared" si="2"/>
        <v>High</v>
      </c>
      <c r="R65" s="1" t="str">
        <f t="shared" si="3"/>
        <v>Low</v>
      </c>
    </row>
    <row r="66" spans="1:18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>
        <f t="shared" si="2"/>
        <v>Low</v>
      </c>
      <c r="R66" s="1" t="str">
        <f t="shared" si="3"/>
        <v>Medium</v>
      </c>
    </row>
    <row r="67" spans="1:18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4">M67*L67</f>
        <v>11021.880000000001</v>
      </c>
      <c r="P67" s="1" t="str">
        <f t="shared" ref="P67:P130" si="5">IF(O67&gt;=15000,"High Price","Low Price")</f>
        <v>Low Price</v>
      </c>
      <c r="Q67" s="1" t="str">
        <f t="shared" ref="Q67:Q130" si="6">_xlfn.IFS(N67&gt;=10,"High",N67&gt;=5,"Medium",N67&lt;5,"Low")</f>
        <v>Medium</v>
      </c>
      <c r="R67" s="1" t="str">
        <f t="shared" ref="R67:R130" si="7">IF(L67&gt;8,"High",IF(L67&gt;4,"Medium","Low"))</f>
        <v>Medium</v>
      </c>
    </row>
    <row r="68" spans="1:18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4"/>
        <v>14448.6</v>
      </c>
      <c r="P68" s="1" t="str">
        <f t="shared" si="5"/>
        <v>Low Price</v>
      </c>
      <c r="Q68" s="1" t="str">
        <f t="shared" si="6"/>
        <v>High</v>
      </c>
      <c r="R68" s="1" t="str">
        <f t="shared" si="7"/>
        <v>Low</v>
      </c>
    </row>
    <row r="69" spans="1:18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4"/>
        <v>11564.130000000001</v>
      </c>
      <c r="P69" s="1" t="str">
        <f t="shared" si="5"/>
        <v>Low Price</v>
      </c>
      <c r="Q69" s="1" t="str">
        <f t="shared" si="6"/>
        <v>Medium</v>
      </c>
      <c r="R69" s="1" t="str">
        <f t="shared" si="7"/>
        <v>Low</v>
      </c>
    </row>
    <row r="70" spans="1:18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4"/>
        <v>5579.5199999999995</v>
      </c>
      <c r="P70" s="1" t="str">
        <f t="shared" si="5"/>
        <v>Low Price</v>
      </c>
      <c r="Q70" s="1" t="str">
        <f t="shared" si="6"/>
        <v>High</v>
      </c>
      <c r="R70" s="1" t="str">
        <f t="shared" si="7"/>
        <v>Low</v>
      </c>
    </row>
    <row r="71" spans="1:18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4"/>
        <v>3037.61</v>
      </c>
      <c r="P71" s="1" t="str">
        <f t="shared" si="5"/>
        <v>Low Price</v>
      </c>
      <c r="Q71" s="1" t="str">
        <f t="shared" si="6"/>
        <v>Medium</v>
      </c>
      <c r="R71" s="1" t="str">
        <f t="shared" si="7"/>
        <v>Low</v>
      </c>
    </row>
    <row r="72" spans="1:18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4"/>
        <v>6590.67</v>
      </c>
      <c r="P72" s="1" t="str">
        <f t="shared" si="5"/>
        <v>Low Price</v>
      </c>
      <c r="Q72" s="1" t="str">
        <f t="shared" si="6"/>
        <v>Low</v>
      </c>
      <c r="R72" s="1" t="str">
        <f t="shared" si="7"/>
        <v>Low</v>
      </c>
    </row>
    <row r="73" spans="1:18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4"/>
        <v>8881.84</v>
      </c>
      <c r="P73" s="1" t="str">
        <f t="shared" si="5"/>
        <v>Low Price</v>
      </c>
      <c r="Q73" s="1" t="str">
        <f t="shared" si="6"/>
        <v>Low</v>
      </c>
      <c r="R73" s="1" t="str">
        <f t="shared" si="7"/>
        <v>Low</v>
      </c>
    </row>
    <row r="74" spans="1:18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4"/>
        <v>6103.4000000000005</v>
      </c>
      <c r="P74" s="1" t="str">
        <f t="shared" si="5"/>
        <v>Low Price</v>
      </c>
      <c r="Q74" s="1" t="str">
        <f t="shared" si="6"/>
        <v>High</v>
      </c>
      <c r="R74" s="1" t="str">
        <f t="shared" si="7"/>
        <v>Medium</v>
      </c>
    </row>
    <row r="75" spans="1:18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4"/>
        <v>2955.84</v>
      </c>
      <c r="P75" s="1" t="str">
        <f t="shared" si="5"/>
        <v>Low Price</v>
      </c>
      <c r="Q75" s="1" t="str">
        <f t="shared" si="6"/>
        <v>High</v>
      </c>
      <c r="R75" s="1" t="str">
        <f t="shared" si="7"/>
        <v>Low</v>
      </c>
    </row>
    <row r="76" spans="1:18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4"/>
        <v>11459.300000000001</v>
      </c>
      <c r="P76" s="1" t="str">
        <f t="shared" si="5"/>
        <v>Low Price</v>
      </c>
      <c r="Q76" s="1" t="str">
        <f t="shared" si="6"/>
        <v>High</v>
      </c>
      <c r="R76" s="1" t="str">
        <f t="shared" si="7"/>
        <v>Medium</v>
      </c>
    </row>
    <row r="77" spans="1:18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4"/>
        <v>786.75</v>
      </c>
      <c r="P77" s="1" t="str">
        <f t="shared" si="5"/>
        <v>Low Price</v>
      </c>
      <c r="Q77" s="1" t="str">
        <f t="shared" si="6"/>
        <v>High</v>
      </c>
      <c r="R77" s="1" t="str">
        <f t="shared" si="7"/>
        <v>Low</v>
      </c>
    </row>
    <row r="78" spans="1:18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4"/>
        <v>21857.46</v>
      </c>
      <c r="P78" s="1" t="str">
        <f t="shared" si="5"/>
        <v>High Price</v>
      </c>
      <c r="Q78" s="1" t="str">
        <f t="shared" si="6"/>
        <v>Low</v>
      </c>
      <c r="R78" s="1" t="str">
        <f t="shared" si="7"/>
        <v>Medium</v>
      </c>
    </row>
    <row r="79" spans="1:18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4"/>
        <v>4510.1400000000003</v>
      </c>
      <c r="P79" s="1" t="str">
        <f t="shared" si="5"/>
        <v>Low Price</v>
      </c>
      <c r="Q79" s="1" t="str">
        <f t="shared" si="6"/>
        <v>Low</v>
      </c>
      <c r="R79" s="1" t="str">
        <f t="shared" si="7"/>
        <v>Medium</v>
      </c>
    </row>
    <row r="80" spans="1:18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4"/>
        <v>7978.72</v>
      </c>
      <c r="P80" s="1" t="str">
        <f t="shared" si="5"/>
        <v>Low Price</v>
      </c>
      <c r="Q80" s="1" t="str">
        <f t="shared" si="6"/>
        <v>Medium</v>
      </c>
      <c r="R80" s="1" t="str">
        <f t="shared" si="7"/>
        <v>Medium</v>
      </c>
    </row>
    <row r="81" spans="1:18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4"/>
        <v>4290.72</v>
      </c>
      <c r="P81" s="1" t="str">
        <f t="shared" si="5"/>
        <v>Low Price</v>
      </c>
      <c r="Q81" s="1" t="str">
        <f t="shared" si="6"/>
        <v>High</v>
      </c>
      <c r="R81" s="1" t="str">
        <f t="shared" si="7"/>
        <v>Low</v>
      </c>
    </row>
    <row r="82" spans="1:18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4"/>
        <v>2883.94</v>
      </c>
      <c r="P82" s="1" t="str">
        <f t="shared" si="5"/>
        <v>Low Price</v>
      </c>
      <c r="Q82" s="1" t="str">
        <f t="shared" si="6"/>
        <v>High</v>
      </c>
      <c r="R82" s="1" t="str">
        <f t="shared" si="7"/>
        <v>Low</v>
      </c>
    </row>
    <row r="83" spans="1:18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4"/>
        <v>2074.2399999999998</v>
      </c>
      <c r="P83" s="1" t="str">
        <f t="shared" si="5"/>
        <v>Low Price</v>
      </c>
      <c r="Q83" s="1" t="str">
        <f t="shared" si="6"/>
        <v>High</v>
      </c>
      <c r="R83" s="1" t="str">
        <f t="shared" si="7"/>
        <v>Low</v>
      </c>
    </row>
    <row r="84" spans="1:18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4"/>
        <v>9611.84</v>
      </c>
      <c r="P84" s="1" t="str">
        <f t="shared" si="5"/>
        <v>Low Price</v>
      </c>
      <c r="Q84" s="1" t="str">
        <f t="shared" si="6"/>
        <v>Medium</v>
      </c>
      <c r="R84" s="1" t="str">
        <f t="shared" si="7"/>
        <v>Medium</v>
      </c>
    </row>
    <row r="85" spans="1:18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4"/>
        <v>11638.2</v>
      </c>
      <c r="P85" s="1" t="str">
        <f t="shared" si="5"/>
        <v>Low Price</v>
      </c>
      <c r="Q85" s="1" t="str">
        <f t="shared" si="6"/>
        <v>High</v>
      </c>
      <c r="R85" s="1" t="str">
        <f t="shared" si="7"/>
        <v>Low</v>
      </c>
    </row>
    <row r="86" spans="1:18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4"/>
        <v>16852.599999999999</v>
      </c>
      <c r="P86" s="1" t="str">
        <f t="shared" si="5"/>
        <v>High Price</v>
      </c>
      <c r="Q86" s="1" t="str">
        <f t="shared" si="6"/>
        <v>High</v>
      </c>
      <c r="R86" s="1" t="str">
        <f t="shared" si="7"/>
        <v>Medium</v>
      </c>
    </row>
    <row r="87" spans="1:18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4"/>
        <v>1029.99</v>
      </c>
      <c r="P87" s="1" t="str">
        <f t="shared" si="5"/>
        <v>Low Price</v>
      </c>
      <c r="Q87" s="1" t="str">
        <f t="shared" si="6"/>
        <v>Medium</v>
      </c>
      <c r="R87" s="1" t="str">
        <f t="shared" si="7"/>
        <v>Low</v>
      </c>
    </row>
    <row r="88" spans="1:18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4"/>
        <v>17448.84</v>
      </c>
      <c r="P88" s="1" t="str">
        <f t="shared" si="5"/>
        <v>High Price</v>
      </c>
      <c r="Q88" s="1" t="str">
        <f t="shared" si="6"/>
        <v>High</v>
      </c>
      <c r="R88" s="1" t="str">
        <f t="shared" si="7"/>
        <v>High</v>
      </c>
    </row>
    <row r="89" spans="1:18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4"/>
        <v>6446.08</v>
      </c>
      <c r="P89" s="1" t="str">
        <f t="shared" si="5"/>
        <v>Low Price</v>
      </c>
      <c r="Q89" s="1" t="str">
        <f t="shared" si="6"/>
        <v>High</v>
      </c>
      <c r="R89" s="1" t="str">
        <f t="shared" si="7"/>
        <v>Low</v>
      </c>
    </row>
    <row r="90" spans="1:18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4"/>
        <v>4106.58</v>
      </c>
      <c r="P90" s="1" t="str">
        <f t="shared" si="5"/>
        <v>Low Price</v>
      </c>
      <c r="Q90" s="1" t="str">
        <f t="shared" si="6"/>
        <v>High</v>
      </c>
      <c r="R90" s="1" t="str">
        <f t="shared" si="7"/>
        <v>Low</v>
      </c>
    </row>
    <row r="91" spans="1:18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4"/>
        <v>2499.88</v>
      </c>
      <c r="P91" s="1" t="str">
        <f t="shared" si="5"/>
        <v>Low Price</v>
      </c>
      <c r="Q91" s="1" t="str">
        <f t="shared" si="6"/>
        <v>High</v>
      </c>
      <c r="R91" s="1" t="str">
        <f t="shared" si="7"/>
        <v>Low</v>
      </c>
    </row>
    <row r="92" spans="1:18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4"/>
        <v>4516.1100000000006</v>
      </c>
      <c r="P92" s="1" t="str">
        <f t="shared" si="5"/>
        <v>Low Price</v>
      </c>
      <c r="Q92" s="1" t="str">
        <f t="shared" si="6"/>
        <v>Medium</v>
      </c>
      <c r="R92" s="1" t="str">
        <f t="shared" si="7"/>
        <v>High</v>
      </c>
    </row>
    <row r="93" spans="1:18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4"/>
        <v>5448.32</v>
      </c>
      <c r="P93" s="1" t="str">
        <f t="shared" si="5"/>
        <v>Low Price</v>
      </c>
      <c r="Q93" s="1" t="str">
        <f t="shared" si="6"/>
        <v>High</v>
      </c>
      <c r="R93" s="1" t="str">
        <f t="shared" si="7"/>
        <v>Low</v>
      </c>
    </row>
    <row r="94" spans="1:18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4"/>
        <v>947.25</v>
      </c>
      <c r="P94" s="1" t="str">
        <f t="shared" si="5"/>
        <v>Low Price</v>
      </c>
      <c r="Q94" s="1" t="str">
        <f t="shared" si="6"/>
        <v>High</v>
      </c>
      <c r="R94" s="1" t="str">
        <f t="shared" si="7"/>
        <v>Low</v>
      </c>
    </row>
    <row r="95" spans="1:18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4"/>
        <v>22096.97</v>
      </c>
      <c r="P95" s="1" t="str">
        <f t="shared" si="5"/>
        <v>High Price</v>
      </c>
      <c r="Q95" s="1" t="str">
        <f t="shared" si="6"/>
        <v>High</v>
      </c>
      <c r="R95" s="1" t="str">
        <f t="shared" si="7"/>
        <v>Medium</v>
      </c>
    </row>
    <row r="96" spans="1:18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4"/>
        <v>13465.44</v>
      </c>
      <c r="P96" s="1" t="str">
        <f t="shared" si="5"/>
        <v>Low Price</v>
      </c>
      <c r="Q96" s="1" t="str">
        <f t="shared" si="6"/>
        <v>High</v>
      </c>
      <c r="R96" s="1" t="str">
        <f t="shared" si="7"/>
        <v>Medium</v>
      </c>
    </row>
    <row r="97" spans="1:18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4"/>
        <v>3718.06</v>
      </c>
      <c r="P97" s="1" t="str">
        <f t="shared" si="5"/>
        <v>Low Price</v>
      </c>
      <c r="Q97" s="1" t="str">
        <f t="shared" si="6"/>
        <v>High</v>
      </c>
      <c r="R97" s="1" t="str">
        <f t="shared" si="7"/>
        <v>Low</v>
      </c>
    </row>
    <row r="98" spans="1:18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4"/>
        <v>25132.38</v>
      </c>
      <c r="P98" s="1" t="str">
        <f t="shared" si="5"/>
        <v>High Price</v>
      </c>
      <c r="Q98" s="1" t="str">
        <f t="shared" si="6"/>
        <v>High</v>
      </c>
      <c r="R98" s="1" t="str">
        <f t="shared" si="7"/>
        <v>Medium</v>
      </c>
    </row>
    <row r="99" spans="1:18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4"/>
        <v>905.15</v>
      </c>
      <c r="P99" s="1" t="str">
        <f t="shared" si="5"/>
        <v>Low Price</v>
      </c>
      <c r="Q99" s="1" t="str">
        <f t="shared" si="6"/>
        <v>High</v>
      </c>
      <c r="R99" s="1" t="str">
        <f t="shared" si="7"/>
        <v>Medium</v>
      </c>
    </row>
    <row r="100" spans="1:18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4"/>
        <v>11343.66</v>
      </c>
      <c r="P100" s="1" t="str">
        <f t="shared" si="5"/>
        <v>Low Price</v>
      </c>
      <c r="Q100" s="1" t="str">
        <f t="shared" si="6"/>
        <v>Medium</v>
      </c>
      <c r="R100" s="1" t="str">
        <f t="shared" si="7"/>
        <v>Low</v>
      </c>
    </row>
    <row r="101" spans="1:18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4"/>
        <v>5315.05</v>
      </c>
      <c r="P101" s="1" t="str">
        <f t="shared" si="5"/>
        <v>Low Price</v>
      </c>
      <c r="Q101" s="1" t="str">
        <f t="shared" si="6"/>
        <v>High</v>
      </c>
      <c r="R101" s="1" t="str">
        <f t="shared" si="7"/>
        <v>Medium</v>
      </c>
    </row>
    <row r="102" spans="1:18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4"/>
        <v>1128.6199999999999</v>
      </c>
      <c r="P102" s="1" t="str">
        <f t="shared" si="5"/>
        <v>Low Price</v>
      </c>
      <c r="Q102" s="1" t="str">
        <f t="shared" si="6"/>
        <v>High</v>
      </c>
      <c r="R102" s="1" t="str">
        <f t="shared" si="7"/>
        <v>Low</v>
      </c>
    </row>
    <row r="103" spans="1:18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4"/>
        <v>12461.04</v>
      </c>
      <c r="P103" s="1" t="str">
        <f t="shared" si="5"/>
        <v>Low Price</v>
      </c>
      <c r="Q103" s="1" t="str">
        <f t="shared" si="6"/>
        <v>High</v>
      </c>
      <c r="R103" s="1" t="str">
        <f t="shared" si="7"/>
        <v>Medium</v>
      </c>
    </row>
    <row r="104" spans="1:18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4"/>
        <v>1820.02</v>
      </c>
      <c r="P104" s="1" t="str">
        <f t="shared" si="5"/>
        <v>Low Price</v>
      </c>
      <c r="Q104" s="1" t="str">
        <f t="shared" si="6"/>
        <v>High</v>
      </c>
      <c r="R104" s="1" t="str">
        <f t="shared" si="7"/>
        <v>Low</v>
      </c>
    </row>
    <row r="105" spans="1:18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4"/>
        <v>4442.3599999999997</v>
      </c>
      <c r="P105" s="1" t="str">
        <f t="shared" si="5"/>
        <v>Low Price</v>
      </c>
      <c r="Q105" s="1" t="str">
        <f t="shared" si="6"/>
        <v>High</v>
      </c>
      <c r="R105" s="1" t="str">
        <f t="shared" si="7"/>
        <v>Low</v>
      </c>
    </row>
    <row r="106" spans="1:18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4"/>
        <v>13546.619999999999</v>
      </c>
      <c r="P106" s="1" t="str">
        <f t="shared" si="5"/>
        <v>Low Price</v>
      </c>
      <c r="Q106" s="1" t="str">
        <f t="shared" si="6"/>
        <v>High</v>
      </c>
      <c r="R106" s="1" t="str">
        <f t="shared" si="7"/>
        <v>Medium</v>
      </c>
    </row>
    <row r="107" spans="1:18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4"/>
        <v>10857.420000000002</v>
      </c>
      <c r="P107" s="1" t="str">
        <f t="shared" si="5"/>
        <v>Low Price</v>
      </c>
      <c r="Q107" s="1" t="str">
        <f t="shared" si="6"/>
        <v>High</v>
      </c>
      <c r="R107" s="1" t="str">
        <f t="shared" si="7"/>
        <v>High</v>
      </c>
    </row>
    <row r="108" spans="1:18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4"/>
        <v>7242.18</v>
      </c>
      <c r="P108" s="1" t="str">
        <f t="shared" si="5"/>
        <v>Low Price</v>
      </c>
      <c r="Q108" s="1" t="str">
        <f t="shared" si="6"/>
        <v>Low</v>
      </c>
      <c r="R108" s="1" t="str">
        <f t="shared" si="7"/>
        <v>Low</v>
      </c>
    </row>
    <row r="109" spans="1:18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4"/>
        <v>6849.78</v>
      </c>
      <c r="P109" s="1" t="str">
        <f t="shared" si="5"/>
        <v>Low Price</v>
      </c>
      <c r="Q109" s="1" t="str">
        <f t="shared" si="6"/>
        <v>High</v>
      </c>
      <c r="R109" s="1" t="str">
        <f t="shared" si="7"/>
        <v>Medium</v>
      </c>
    </row>
    <row r="110" spans="1:18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4"/>
        <v>21328.62</v>
      </c>
      <c r="P110" s="1" t="str">
        <f t="shared" si="5"/>
        <v>High Price</v>
      </c>
      <c r="Q110" s="1" t="str">
        <f t="shared" si="6"/>
        <v>High</v>
      </c>
      <c r="R110" s="1" t="str">
        <f t="shared" si="7"/>
        <v>Medium</v>
      </c>
    </row>
    <row r="111" spans="1:18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4"/>
        <v>4607.42</v>
      </c>
      <c r="P111" s="1" t="str">
        <f t="shared" si="5"/>
        <v>Low Price</v>
      </c>
      <c r="Q111" s="1" t="str">
        <f t="shared" si="6"/>
        <v>High</v>
      </c>
      <c r="R111" s="1" t="str">
        <f t="shared" si="7"/>
        <v>Low</v>
      </c>
    </row>
    <row r="112" spans="1:18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4"/>
        <v>26717.439999999999</v>
      </c>
      <c r="P112" s="1" t="str">
        <f t="shared" si="5"/>
        <v>High Price</v>
      </c>
      <c r="Q112" s="1" t="str">
        <f t="shared" si="6"/>
        <v>Low</v>
      </c>
      <c r="R112" s="1" t="str">
        <f t="shared" si="7"/>
        <v>Medium</v>
      </c>
    </row>
    <row r="113" spans="1:18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4"/>
        <v>20261.22</v>
      </c>
      <c r="P113" s="1" t="str">
        <f t="shared" si="5"/>
        <v>High Price</v>
      </c>
      <c r="Q113" s="1" t="str">
        <f t="shared" si="6"/>
        <v>Medium</v>
      </c>
      <c r="R113" s="1" t="str">
        <f t="shared" si="7"/>
        <v>Medium</v>
      </c>
    </row>
    <row r="114" spans="1:18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4"/>
        <v>14161.400000000001</v>
      </c>
      <c r="P114" s="1" t="str">
        <f t="shared" si="5"/>
        <v>Low Price</v>
      </c>
      <c r="Q114" s="1" t="str">
        <f t="shared" si="6"/>
        <v>Low</v>
      </c>
      <c r="R114" s="1" t="str">
        <f t="shared" si="7"/>
        <v>Medium</v>
      </c>
    </row>
    <row r="115" spans="1:18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4"/>
        <v>6993.65</v>
      </c>
      <c r="P115" s="1" t="str">
        <f t="shared" si="5"/>
        <v>Low Price</v>
      </c>
      <c r="Q115" s="1" t="str">
        <f t="shared" si="6"/>
        <v>Low</v>
      </c>
      <c r="R115" s="1" t="str">
        <f t="shared" si="7"/>
        <v>Medium</v>
      </c>
    </row>
    <row r="116" spans="1:18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4"/>
        <v>7353.5</v>
      </c>
      <c r="P116" s="1" t="str">
        <f t="shared" si="5"/>
        <v>Low Price</v>
      </c>
      <c r="Q116" s="1" t="str">
        <f t="shared" si="6"/>
        <v>High</v>
      </c>
      <c r="R116" s="1" t="str">
        <f t="shared" si="7"/>
        <v>Medium</v>
      </c>
    </row>
    <row r="117" spans="1:18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4"/>
        <v>8657.19</v>
      </c>
      <c r="P117" s="1" t="str">
        <f t="shared" si="5"/>
        <v>Low Price</v>
      </c>
      <c r="Q117" s="1" t="str">
        <f t="shared" si="6"/>
        <v>High</v>
      </c>
      <c r="R117" s="1" t="str">
        <f t="shared" si="7"/>
        <v>High</v>
      </c>
    </row>
    <row r="118" spans="1:18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4"/>
        <v>31051.71</v>
      </c>
      <c r="P118" s="1" t="str">
        <f t="shared" si="5"/>
        <v>High Price</v>
      </c>
      <c r="Q118" s="1" t="str">
        <f t="shared" si="6"/>
        <v>Low</v>
      </c>
      <c r="R118" s="1" t="str">
        <f t="shared" si="7"/>
        <v>High</v>
      </c>
    </row>
    <row r="119" spans="1:18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4"/>
        <v>29777.759999999998</v>
      </c>
      <c r="P119" s="1" t="str">
        <f t="shared" si="5"/>
        <v>High Price</v>
      </c>
      <c r="Q119" s="1" t="str">
        <f t="shared" si="6"/>
        <v>Medium</v>
      </c>
      <c r="R119" s="1" t="str">
        <f t="shared" si="7"/>
        <v>High</v>
      </c>
    </row>
    <row r="120" spans="1:18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4"/>
        <v>11077.26</v>
      </c>
      <c r="P120" s="1" t="str">
        <f t="shared" si="5"/>
        <v>Low Price</v>
      </c>
      <c r="Q120" s="1" t="str">
        <f t="shared" si="6"/>
        <v>High</v>
      </c>
      <c r="R120" s="1" t="str">
        <f t="shared" si="7"/>
        <v>Medium</v>
      </c>
    </row>
    <row r="121" spans="1:18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4"/>
        <v>3958.56</v>
      </c>
      <c r="P121" s="1" t="str">
        <f t="shared" si="5"/>
        <v>Low Price</v>
      </c>
      <c r="Q121" s="1" t="str">
        <f t="shared" si="6"/>
        <v>Low</v>
      </c>
      <c r="R121" s="1" t="str">
        <f t="shared" si="7"/>
        <v>Medium</v>
      </c>
    </row>
    <row r="122" spans="1:18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4"/>
        <v>4865.01</v>
      </c>
      <c r="P122" s="1" t="str">
        <f t="shared" si="5"/>
        <v>Low Price</v>
      </c>
      <c r="Q122" s="1" t="str">
        <f t="shared" si="6"/>
        <v>Low</v>
      </c>
      <c r="R122" s="1" t="str">
        <f t="shared" si="7"/>
        <v>Low</v>
      </c>
    </row>
    <row r="123" spans="1:18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4"/>
        <v>2534.4699999999998</v>
      </c>
      <c r="P123" s="1" t="str">
        <f t="shared" si="5"/>
        <v>Low Price</v>
      </c>
      <c r="Q123" s="1" t="str">
        <f t="shared" si="6"/>
        <v>Medium</v>
      </c>
      <c r="R123" s="1" t="str">
        <f t="shared" si="7"/>
        <v>Low</v>
      </c>
    </row>
    <row r="124" spans="1:18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4"/>
        <v>13296.15</v>
      </c>
      <c r="P124" s="1" t="str">
        <f t="shared" si="5"/>
        <v>Low Price</v>
      </c>
      <c r="Q124" s="1" t="str">
        <f t="shared" si="6"/>
        <v>High</v>
      </c>
      <c r="R124" s="1" t="str">
        <f t="shared" si="7"/>
        <v>Medium</v>
      </c>
    </row>
    <row r="125" spans="1:18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4"/>
        <v>12614.92</v>
      </c>
      <c r="P125" s="1" t="str">
        <f t="shared" si="5"/>
        <v>Low Price</v>
      </c>
      <c r="Q125" s="1" t="str">
        <f t="shared" si="6"/>
        <v>Low</v>
      </c>
      <c r="R125" s="1" t="str">
        <f t="shared" si="7"/>
        <v>Low</v>
      </c>
    </row>
    <row r="126" spans="1:18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4"/>
        <v>3990.85</v>
      </c>
      <c r="P126" s="1" t="str">
        <f t="shared" si="5"/>
        <v>Low Price</v>
      </c>
      <c r="Q126" s="1" t="str">
        <f t="shared" si="6"/>
        <v>Low</v>
      </c>
      <c r="R126" s="1" t="str">
        <f t="shared" si="7"/>
        <v>Low</v>
      </c>
    </row>
    <row r="127" spans="1:18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4"/>
        <v>11517.960000000001</v>
      </c>
      <c r="P127" s="1" t="str">
        <f t="shared" si="5"/>
        <v>Low Price</v>
      </c>
      <c r="Q127" s="1" t="str">
        <f t="shared" si="6"/>
        <v>Medium</v>
      </c>
      <c r="R127" s="1" t="str">
        <f t="shared" si="7"/>
        <v>Medium</v>
      </c>
    </row>
    <row r="128" spans="1:18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4"/>
        <v>10855.74</v>
      </c>
      <c r="P128" s="1" t="str">
        <f t="shared" si="5"/>
        <v>Low Price</v>
      </c>
      <c r="Q128" s="1" t="str">
        <f t="shared" si="6"/>
        <v>Low</v>
      </c>
      <c r="R128" s="1" t="str">
        <f t="shared" si="7"/>
        <v>Medium</v>
      </c>
    </row>
    <row r="129" spans="1:18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4"/>
        <v>912.67</v>
      </c>
      <c r="P129" s="1" t="str">
        <f t="shared" si="5"/>
        <v>Low Price</v>
      </c>
      <c r="Q129" s="1" t="str">
        <f t="shared" si="6"/>
        <v>Low</v>
      </c>
      <c r="R129" s="1" t="str">
        <f t="shared" si="7"/>
        <v>Low</v>
      </c>
    </row>
    <row r="130" spans="1:18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4"/>
        <v>805.82</v>
      </c>
      <c r="P130" s="1" t="str">
        <f t="shared" si="5"/>
        <v>Low Price</v>
      </c>
      <c r="Q130" s="1" t="str">
        <f t="shared" si="6"/>
        <v>High</v>
      </c>
      <c r="R130" s="1" t="str">
        <f t="shared" si="7"/>
        <v>Low</v>
      </c>
    </row>
    <row r="131" spans="1:18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8">M131*L131</f>
        <v>14261.64</v>
      </c>
      <c r="P131" s="1" t="str">
        <f t="shared" ref="P131:P194" si="9">IF(O131&gt;=15000,"High Price","Low Price")</f>
        <v>Low Price</v>
      </c>
      <c r="Q131" s="1" t="str">
        <f t="shared" ref="Q131:Q194" si="10">_xlfn.IFS(N131&gt;=10,"High",N131&gt;=5,"Medium",N131&lt;5,"Low")</f>
        <v>High</v>
      </c>
      <c r="R131" s="1" t="str">
        <f t="shared" ref="R131:R194" si="11">IF(L131&gt;8,"High",IF(L131&gt;4,"Medium","Low"))</f>
        <v>Low</v>
      </c>
    </row>
    <row r="132" spans="1:18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8"/>
        <v>3532.84</v>
      </c>
      <c r="P132" s="1" t="str">
        <f t="shared" si="9"/>
        <v>Low Price</v>
      </c>
      <c r="Q132" s="1" t="str">
        <f t="shared" si="10"/>
        <v>High</v>
      </c>
      <c r="R132" s="1" t="str">
        <f t="shared" si="11"/>
        <v>Low</v>
      </c>
    </row>
    <row r="133" spans="1:18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8"/>
        <v>2063.0500000000002</v>
      </c>
      <c r="P133" s="1" t="str">
        <f t="shared" si="9"/>
        <v>Low Price</v>
      </c>
      <c r="Q133" s="1" t="str">
        <f t="shared" si="10"/>
        <v>Low</v>
      </c>
      <c r="R133" s="1" t="str">
        <f t="shared" si="11"/>
        <v>Low</v>
      </c>
    </row>
    <row r="134" spans="1:18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8"/>
        <v>25761.61</v>
      </c>
      <c r="P134" s="1" t="str">
        <f t="shared" si="9"/>
        <v>High Price</v>
      </c>
      <c r="Q134" s="1" t="str">
        <f t="shared" si="10"/>
        <v>Medium</v>
      </c>
      <c r="R134" s="1" t="str">
        <f t="shared" si="11"/>
        <v>Medium</v>
      </c>
    </row>
    <row r="135" spans="1:18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8"/>
        <v>25109.759999999998</v>
      </c>
      <c r="P135" s="1" t="str">
        <f t="shared" si="9"/>
        <v>High Price</v>
      </c>
      <c r="Q135" s="1" t="str">
        <f t="shared" si="10"/>
        <v>High</v>
      </c>
      <c r="R135" s="1" t="str">
        <f t="shared" si="11"/>
        <v>Medium</v>
      </c>
    </row>
    <row r="136" spans="1:18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8"/>
        <v>3914.58</v>
      </c>
      <c r="P136" s="1" t="str">
        <f t="shared" si="9"/>
        <v>Low Price</v>
      </c>
      <c r="Q136" s="1" t="str">
        <f t="shared" si="10"/>
        <v>High</v>
      </c>
      <c r="R136" s="1" t="str">
        <f t="shared" si="11"/>
        <v>Medium</v>
      </c>
    </row>
    <row r="137" spans="1:18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8"/>
        <v>9307.48</v>
      </c>
      <c r="P137" s="1" t="str">
        <f t="shared" si="9"/>
        <v>Low Price</v>
      </c>
      <c r="Q137" s="1" t="str">
        <f t="shared" si="10"/>
        <v>High</v>
      </c>
      <c r="R137" s="1" t="str">
        <f t="shared" si="11"/>
        <v>Low</v>
      </c>
    </row>
    <row r="138" spans="1:18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8"/>
        <v>11116.02</v>
      </c>
      <c r="P138" s="1" t="str">
        <f t="shared" si="9"/>
        <v>Low Price</v>
      </c>
      <c r="Q138" s="1" t="str">
        <f t="shared" si="10"/>
        <v>Medium</v>
      </c>
      <c r="R138" s="1" t="str">
        <f t="shared" si="11"/>
        <v>Medium</v>
      </c>
    </row>
    <row r="139" spans="1:18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8"/>
        <v>9657.7800000000007</v>
      </c>
      <c r="P139" s="1" t="str">
        <f t="shared" si="9"/>
        <v>Low Price</v>
      </c>
      <c r="Q139" s="1" t="str">
        <f t="shared" si="10"/>
        <v>High</v>
      </c>
      <c r="R139" s="1" t="str">
        <f t="shared" si="11"/>
        <v>Low</v>
      </c>
    </row>
    <row r="140" spans="1:18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8"/>
        <v>23506.400000000001</v>
      </c>
      <c r="P140" s="1" t="str">
        <f t="shared" si="9"/>
        <v>High Price</v>
      </c>
      <c r="Q140" s="1" t="str">
        <f t="shared" si="10"/>
        <v>High</v>
      </c>
      <c r="R140" s="1" t="str">
        <f t="shared" si="11"/>
        <v>Medium</v>
      </c>
    </row>
    <row r="141" spans="1:18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8"/>
        <v>5616.12</v>
      </c>
      <c r="P141" s="1" t="str">
        <f t="shared" si="9"/>
        <v>Low Price</v>
      </c>
      <c r="Q141" s="1" t="str">
        <f t="shared" si="10"/>
        <v>Low</v>
      </c>
      <c r="R141" s="1" t="str">
        <f t="shared" si="11"/>
        <v>Low</v>
      </c>
    </row>
    <row r="142" spans="1:18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8"/>
        <v>7305.5</v>
      </c>
      <c r="P142" s="1" t="str">
        <f t="shared" si="9"/>
        <v>Low Price</v>
      </c>
      <c r="Q142" s="1" t="str">
        <f t="shared" si="10"/>
        <v>High</v>
      </c>
      <c r="R142" s="1" t="str">
        <f t="shared" si="11"/>
        <v>Medium</v>
      </c>
    </row>
    <row r="143" spans="1:18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8"/>
        <v>3249.11</v>
      </c>
      <c r="P143" s="1" t="str">
        <f t="shared" si="9"/>
        <v>Low Price</v>
      </c>
      <c r="Q143" s="1" t="str">
        <f t="shared" si="10"/>
        <v>High</v>
      </c>
      <c r="R143" s="1" t="str">
        <f t="shared" si="11"/>
        <v>Low</v>
      </c>
    </row>
    <row r="144" spans="1:18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8"/>
        <v>1529.12</v>
      </c>
      <c r="P144" s="1" t="str">
        <f t="shared" si="9"/>
        <v>Low Price</v>
      </c>
      <c r="Q144" s="1" t="str">
        <f t="shared" si="10"/>
        <v>Low</v>
      </c>
      <c r="R144" s="1" t="str">
        <f t="shared" si="11"/>
        <v>Low</v>
      </c>
    </row>
    <row r="145" spans="1:18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8"/>
        <v>5768.6</v>
      </c>
      <c r="P145" s="1" t="str">
        <f t="shared" si="9"/>
        <v>Low Price</v>
      </c>
      <c r="Q145" s="1" t="str">
        <f t="shared" si="10"/>
        <v>High</v>
      </c>
      <c r="R145" s="1" t="str">
        <f t="shared" si="11"/>
        <v>Low</v>
      </c>
    </row>
    <row r="146" spans="1:18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8"/>
        <v>2674.2599999999998</v>
      </c>
      <c r="P146" s="1" t="str">
        <f t="shared" si="9"/>
        <v>Low Price</v>
      </c>
      <c r="Q146" s="1" t="str">
        <f t="shared" si="10"/>
        <v>High</v>
      </c>
      <c r="R146" s="1" t="str">
        <f t="shared" si="11"/>
        <v>Medium</v>
      </c>
    </row>
    <row r="147" spans="1:18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8"/>
        <v>8437.84</v>
      </c>
      <c r="P147" s="1" t="str">
        <f t="shared" si="9"/>
        <v>Low Price</v>
      </c>
      <c r="Q147" s="1" t="str">
        <f t="shared" si="10"/>
        <v>Low</v>
      </c>
      <c r="R147" s="1" t="str">
        <f t="shared" si="11"/>
        <v>Medium</v>
      </c>
    </row>
    <row r="148" spans="1:18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8"/>
        <v>26768.639999999999</v>
      </c>
      <c r="P148" s="1" t="str">
        <f t="shared" si="9"/>
        <v>High Price</v>
      </c>
      <c r="Q148" s="1" t="str">
        <f t="shared" si="10"/>
        <v>High</v>
      </c>
      <c r="R148" s="1" t="str">
        <f t="shared" si="11"/>
        <v>Medium</v>
      </c>
    </row>
    <row r="149" spans="1:18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8"/>
        <v>22804.62</v>
      </c>
      <c r="P149" s="1" t="str">
        <f t="shared" si="9"/>
        <v>High Price</v>
      </c>
      <c r="Q149" s="1" t="str">
        <f t="shared" si="10"/>
        <v>Low</v>
      </c>
      <c r="R149" s="1" t="str">
        <f t="shared" si="11"/>
        <v>Medium</v>
      </c>
    </row>
    <row r="150" spans="1:18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8"/>
        <v>5290.88</v>
      </c>
      <c r="P150" s="1" t="str">
        <f t="shared" si="9"/>
        <v>Low Price</v>
      </c>
      <c r="Q150" s="1" t="str">
        <f t="shared" si="10"/>
        <v>Medium</v>
      </c>
      <c r="R150" s="1" t="str">
        <f t="shared" si="11"/>
        <v>Low</v>
      </c>
    </row>
    <row r="151" spans="1:18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8"/>
        <v>9347.1200000000008</v>
      </c>
      <c r="P151" s="1" t="str">
        <f t="shared" si="9"/>
        <v>Low Price</v>
      </c>
      <c r="Q151" s="1" t="str">
        <f t="shared" si="10"/>
        <v>High</v>
      </c>
      <c r="R151" s="1" t="str">
        <f t="shared" si="11"/>
        <v>Medium</v>
      </c>
    </row>
    <row r="152" spans="1:18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8"/>
        <v>9820.7199999999993</v>
      </c>
      <c r="P152" s="1" t="str">
        <f t="shared" si="9"/>
        <v>Low Price</v>
      </c>
      <c r="Q152" s="1" t="str">
        <f t="shared" si="10"/>
        <v>Medium</v>
      </c>
      <c r="R152" s="1" t="str">
        <f t="shared" si="11"/>
        <v>Medium</v>
      </c>
    </row>
    <row r="153" spans="1:18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8"/>
        <v>1219.22</v>
      </c>
      <c r="P153" s="1" t="str">
        <f t="shared" si="9"/>
        <v>Low Price</v>
      </c>
      <c r="Q153" s="1" t="str">
        <f t="shared" si="10"/>
        <v>High</v>
      </c>
      <c r="R153" s="1" t="str">
        <f t="shared" si="11"/>
        <v>Low</v>
      </c>
    </row>
    <row r="154" spans="1:18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8"/>
        <v>1153.32</v>
      </c>
      <c r="P154" s="1" t="str">
        <f t="shared" si="9"/>
        <v>Low Price</v>
      </c>
      <c r="Q154" s="1" t="str">
        <f t="shared" si="10"/>
        <v>High</v>
      </c>
      <c r="R154" s="1" t="str">
        <f t="shared" si="11"/>
        <v>Low</v>
      </c>
    </row>
    <row r="155" spans="1:18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8"/>
        <v>14874.52</v>
      </c>
      <c r="P155" s="1" t="str">
        <f t="shared" si="9"/>
        <v>Low Price</v>
      </c>
      <c r="Q155" s="1" t="str">
        <f t="shared" si="10"/>
        <v>High</v>
      </c>
      <c r="R155" s="1" t="str">
        <f t="shared" si="11"/>
        <v>Low</v>
      </c>
    </row>
    <row r="156" spans="1:18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8"/>
        <v>6809.18</v>
      </c>
      <c r="P156" s="1" t="str">
        <f t="shared" si="9"/>
        <v>Low Price</v>
      </c>
      <c r="Q156" s="1" t="str">
        <f t="shared" si="10"/>
        <v>Low</v>
      </c>
      <c r="R156" s="1" t="str">
        <f t="shared" si="11"/>
        <v>Medium</v>
      </c>
    </row>
    <row r="157" spans="1:18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8"/>
        <v>12369.14</v>
      </c>
      <c r="P157" s="1" t="str">
        <f t="shared" si="9"/>
        <v>Low Price</v>
      </c>
      <c r="Q157" s="1" t="str">
        <f t="shared" si="10"/>
        <v>High</v>
      </c>
      <c r="R157" s="1" t="str">
        <f t="shared" si="11"/>
        <v>Medium</v>
      </c>
    </row>
    <row r="158" spans="1:18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8"/>
        <v>1498.32</v>
      </c>
      <c r="P158" s="1" t="str">
        <f t="shared" si="9"/>
        <v>Low Price</v>
      </c>
      <c r="Q158" s="1" t="str">
        <f t="shared" si="10"/>
        <v>Medium</v>
      </c>
      <c r="R158" s="1" t="str">
        <f t="shared" si="11"/>
        <v>Medium</v>
      </c>
    </row>
    <row r="159" spans="1:18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8"/>
        <v>20754.72</v>
      </c>
      <c r="P159" s="1" t="str">
        <f t="shared" si="9"/>
        <v>High Price</v>
      </c>
      <c r="Q159" s="1" t="str">
        <f t="shared" si="10"/>
        <v>Medium</v>
      </c>
      <c r="R159" s="1" t="str">
        <f t="shared" si="11"/>
        <v>Medium</v>
      </c>
    </row>
    <row r="160" spans="1:18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8"/>
        <v>30360.080000000002</v>
      </c>
      <c r="P160" s="1" t="str">
        <f t="shared" si="9"/>
        <v>High Price</v>
      </c>
      <c r="Q160" s="1" t="str">
        <f t="shared" si="10"/>
        <v>Medium</v>
      </c>
      <c r="R160" s="1" t="str">
        <f t="shared" si="11"/>
        <v>Medium</v>
      </c>
    </row>
    <row r="161" spans="1:18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8"/>
        <v>28432.98</v>
      </c>
      <c r="P161" s="1" t="str">
        <f t="shared" si="9"/>
        <v>High Price</v>
      </c>
      <c r="Q161" s="1" t="str">
        <f t="shared" si="10"/>
        <v>High</v>
      </c>
      <c r="R161" s="1" t="str">
        <f t="shared" si="11"/>
        <v>High</v>
      </c>
    </row>
    <row r="162" spans="1:18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8"/>
        <v>4073.31</v>
      </c>
      <c r="P162" s="1" t="str">
        <f t="shared" si="9"/>
        <v>Low Price</v>
      </c>
      <c r="Q162" s="1" t="str">
        <f t="shared" si="10"/>
        <v>Medium</v>
      </c>
      <c r="R162" s="1" t="str">
        <f t="shared" si="11"/>
        <v>Low</v>
      </c>
    </row>
    <row r="163" spans="1:18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8"/>
        <v>3312.93</v>
      </c>
      <c r="P163" s="1" t="str">
        <f t="shared" si="9"/>
        <v>Low Price</v>
      </c>
      <c r="Q163" s="1" t="str">
        <f t="shared" si="10"/>
        <v>High</v>
      </c>
      <c r="R163" s="1" t="str">
        <f t="shared" si="11"/>
        <v>Low</v>
      </c>
    </row>
    <row r="164" spans="1:18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8"/>
        <v>11344.84</v>
      </c>
      <c r="P164" s="1" t="str">
        <f t="shared" si="9"/>
        <v>Low Price</v>
      </c>
      <c r="Q164" s="1" t="str">
        <f t="shared" si="10"/>
        <v>High</v>
      </c>
      <c r="R164" s="1" t="str">
        <f t="shared" si="11"/>
        <v>Low</v>
      </c>
    </row>
    <row r="165" spans="1:18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8"/>
        <v>1218.6300000000001</v>
      </c>
      <c r="P165" s="1" t="str">
        <f t="shared" si="9"/>
        <v>Low Price</v>
      </c>
      <c r="Q165" s="1" t="str">
        <f t="shared" si="10"/>
        <v>High</v>
      </c>
      <c r="R165" s="1" t="str">
        <f t="shared" si="11"/>
        <v>Medium</v>
      </c>
    </row>
    <row r="166" spans="1:18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8"/>
        <v>3494.34</v>
      </c>
      <c r="P166" s="1" t="str">
        <f t="shared" si="9"/>
        <v>Low Price</v>
      </c>
      <c r="Q166" s="1" t="str">
        <f t="shared" si="10"/>
        <v>High</v>
      </c>
      <c r="R166" s="1" t="str">
        <f t="shared" si="11"/>
        <v>High</v>
      </c>
    </row>
    <row r="167" spans="1:18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8"/>
        <v>17689.36</v>
      </c>
      <c r="P167" s="1" t="str">
        <f t="shared" si="9"/>
        <v>High Price</v>
      </c>
      <c r="Q167" s="1" t="str">
        <f t="shared" si="10"/>
        <v>High</v>
      </c>
      <c r="R167" s="1" t="str">
        <f t="shared" si="11"/>
        <v>Medium</v>
      </c>
    </row>
    <row r="168" spans="1:18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8"/>
        <v>11646.900000000001</v>
      </c>
      <c r="P168" s="1" t="str">
        <f t="shared" si="9"/>
        <v>Low Price</v>
      </c>
      <c r="Q168" s="1" t="str">
        <f t="shared" si="10"/>
        <v>High</v>
      </c>
      <c r="R168" s="1" t="str">
        <f t="shared" si="11"/>
        <v>Medium</v>
      </c>
    </row>
    <row r="169" spans="1:18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8"/>
        <v>4606.4900000000007</v>
      </c>
      <c r="P169" s="1" t="str">
        <f t="shared" si="9"/>
        <v>Low Price</v>
      </c>
      <c r="Q169" s="1" t="str">
        <f t="shared" si="10"/>
        <v>High</v>
      </c>
      <c r="R169" s="1" t="str">
        <f t="shared" si="11"/>
        <v>Medium</v>
      </c>
    </row>
    <row r="170" spans="1:18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8"/>
        <v>10628.75</v>
      </c>
      <c r="P170" s="1" t="str">
        <f t="shared" si="9"/>
        <v>Low Price</v>
      </c>
      <c r="Q170" s="1" t="str">
        <f t="shared" si="10"/>
        <v>High</v>
      </c>
      <c r="R170" s="1" t="str">
        <f t="shared" si="11"/>
        <v>Medium</v>
      </c>
    </row>
    <row r="171" spans="1:18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8"/>
        <v>6290.34</v>
      </c>
      <c r="P171" s="1" t="str">
        <f t="shared" si="9"/>
        <v>Low Price</v>
      </c>
      <c r="Q171" s="1" t="str">
        <f t="shared" si="10"/>
        <v>Low</v>
      </c>
      <c r="R171" s="1" t="str">
        <f t="shared" si="11"/>
        <v>Medium</v>
      </c>
    </row>
    <row r="172" spans="1:18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8"/>
        <v>508.81</v>
      </c>
      <c r="P172" s="1" t="str">
        <f t="shared" si="9"/>
        <v>Low Price</v>
      </c>
      <c r="Q172" s="1" t="str">
        <f t="shared" si="10"/>
        <v>Low</v>
      </c>
      <c r="R172" s="1" t="str">
        <f t="shared" si="11"/>
        <v>Low</v>
      </c>
    </row>
    <row r="173" spans="1:18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8"/>
        <v>1730.41</v>
      </c>
      <c r="P173" s="1" t="str">
        <f t="shared" si="9"/>
        <v>Low Price</v>
      </c>
      <c r="Q173" s="1" t="str">
        <f t="shared" si="10"/>
        <v>High</v>
      </c>
      <c r="R173" s="1" t="str">
        <f t="shared" si="11"/>
        <v>Low</v>
      </c>
    </row>
    <row r="174" spans="1:18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8"/>
        <v>2336.5500000000002</v>
      </c>
      <c r="P174" s="1" t="str">
        <f t="shared" si="9"/>
        <v>Low Price</v>
      </c>
      <c r="Q174" s="1" t="str">
        <f t="shared" si="10"/>
        <v>High</v>
      </c>
      <c r="R174" s="1" t="str">
        <f t="shared" si="11"/>
        <v>Low</v>
      </c>
    </row>
    <row r="175" spans="1:18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8"/>
        <v>2745.18</v>
      </c>
      <c r="P175" s="1" t="str">
        <f t="shared" si="9"/>
        <v>Low Price</v>
      </c>
      <c r="Q175" s="1" t="str">
        <f t="shared" si="10"/>
        <v>Medium</v>
      </c>
      <c r="R175" s="1" t="str">
        <f t="shared" si="11"/>
        <v>Low</v>
      </c>
    </row>
    <row r="176" spans="1:18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8"/>
        <v>8040.5500000000011</v>
      </c>
      <c r="P176" s="1" t="str">
        <f t="shared" si="9"/>
        <v>Low Price</v>
      </c>
      <c r="Q176" s="1" t="str">
        <f t="shared" si="10"/>
        <v>High</v>
      </c>
      <c r="R176" s="1" t="str">
        <f t="shared" si="11"/>
        <v>Medium</v>
      </c>
    </row>
    <row r="177" spans="1:18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8"/>
        <v>974.46</v>
      </c>
      <c r="P177" s="1" t="str">
        <f t="shared" si="9"/>
        <v>Low Price</v>
      </c>
      <c r="Q177" s="1" t="str">
        <f t="shared" si="10"/>
        <v>High</v>
      </c>
      <c r="R177" s="1" t="str">
        <f t="shared" si="11"/>
        <v>Low</v>
      </c>
    </row>
    <row r="178" spans="1:18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8"/>
        <v>1984.72</v>
      </c>
      <c r="P178" s="1" t="str">
        <f t="shared" si="9"/>
        <v>Low Price</v>
      </c>
      <c r="Q178" s="1" t="str">
        <f t="shared" si="10"/>
        <v>High</v>
      </c>
      <c r="R178" s="1" t="str">
        <f t="shared" si="11"/>
        <v>Low</v>
      </c>
    </row>
    <row r="179" spans="1:18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8"/>
        <v>1788.02</v>
      </c>
      <c r="P179" s="1" t="str">
        <f t="shared" si="9"/>
        <v>Low Price</v>
      </c>
      <c r="Q179" s="1" t="str">
        <f t="shared" si="10"/>
        <v>High</v>
      </c>
      <c r="R179" s="1" t="str">
        <f t="shared" si="11"/>
        <v>Low</v>
      </c>
    </row>
    <row r="180" spans="1:18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8"/>
        <v>2067.8999999999996</v>
      </c>
      <c r="P180" s="1" t="str">
        <f t="shared" si="9"/>
        <v>Low Price</v>
      </c>
      <c r="Q180" s="1" t="str">
        <f t="shared" si="10"/>
        <v>High</v>
      </c>
      <c r="R180" s="1" t="str">
        <f t="shared" si="11"/>
        <v>Medium</v>
      </c>
    </row>
    <row r="181" spans="1:18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8"/>
        <v>20494.88</v>
      </c>
      <c r="P181" s="1" t="str">
        <f t="shared" si="9"/>
        <v>High Price</v>
      </c>
      <c r="Q181" s="1" t="str">
        <f t="shared" si="10"/>
        <v>Low</v>
      </c>
      <c r="R181" s="1" t="str">
        <f t="shared" si="11"/>
        <v>Medium</v>
      </c>
    </row>
    <row r="182" spans="1:18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8"/>
        <v>5024.84</v>
      </c>
      <c r="P182" s="1" t="str">
        <f t="shared" si="9"/>
        <v>Low Price</v>
      </c>
      <c r="Q182" s="1" t="str">
        <f t="shared" si="10"/>
        <v>High</v>
      </c>
      <c r="R182" s="1" t="str">
        <f t="shared" si="11"/>
        <v>Low</v>
      </c>
    </row>
    <row r="183" spans="1:18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8"/>
        <v>6135.1</v>
      </c>
      <c r="P183" s="1" t="str">
        <f t="shared" si="9"/>
        <v>Low Price</v>
      </c>
      <c r="Q183" s="1" t="str">
        <f t="shared" si="10"/>
        <v>High</v>
      </c>
      <c r="R183" s="1" t="str">
        <f t="shared" si="11"/>
        <v>Medium</v>
      </c>
    </row>
    <row r="184" spans="1:18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8"/>
        <v>5712.76</v>
      </c>
      <c r="P184" s="1" t="str">
        <f t="shared" si="9"/>
        <v>Low Price</v>
      </c>
      <c r="Q184" s="1" t="str">
        <f t="shared" si="10"/>
        <v>High</v>
      </c>
      <c r="R184" s="1" t="str">
        <f t="shared" si="11"/>
        <v>Low</v>
      </c>
    </row>
    <row r="185" spans="1:18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8"/>
        <v>8105.3099999999995</v>
      </c>
      <c r="P185" s="1" t="str">
        <f t="shared" si="9"/>
        <v>Low Price</v>
      </c>
      <c r="Q185" s="1" t="str">
        <f t="shared" si="10"/>
        <v>High</v>
      </c>
      <c r="R185" s="1" t="str">
        <f t="shared" si="11"/>
        <v>Low</v>
      </c>
    </row>
    <row r="186" spans="1:18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8"/>
        <v>17509.7</v>
      </c>
      <c r="P186" s="1" t="str">
        <f t="shared" si="9"/>
        <v>High Price</v>
      </c>
      <c r="Q186" s="1" t="str">
        <f t="shared" si="10"/>
        <v>High</v>
      </c>
      <c r="R186" s="1" t="str">
        <f t="shared" si="11"/>
        <v>Medium</v>
      </c>
    </row>
    <row r="187" spans="1:18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8"/>
        <v>27652.32</v>
      </c>
      <c r="P187" s="1" t="str">
        <f t="shared" si="9"/>
        <v>High Price</v>
      </c>
      <c r="Q187" s="1" t="str">
        <f t="shared" si="10"/>
        <v>Low</v>
      </c>
      <c r="R187" s="1" t="str">
        <f t="shared" si="11"/>
        <v>High</v>
      </c>
    </row>
    <row r="188" spans="1:18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8"/>
        <v>6877.92</v>
      </c>
      <c r="P188" s="1" t="str">
        <f t="shared" si="9"/>
        <v>Low Price</v>
      </c>
      <c r="Q188" s="1" t="str">
        <f t="shared" si="10"/>
        <v>High</v>
      </c>
      <c r="R188" s="1" t="str">
        <f t="shared" si="11"/>
        <v>Medium</v>
      </c>
    </row>
    <row r="189" spans="1:18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8"/>
        <v>7624.56</v>
      </c>
      <c r="P189" s="1" t="str">
        <f t="shared" si="9"/>
        <v>Low Price</v>
      </c>
      <c r="Q189" s="1" t="str">
        <f t="shared" si="10"/>
        <v>High</v>
      </c>
      <c r="R189" s="1" t="str">
        <f t="shared" si="11"/>
        <v>Medium</v>
      </c>
    </row>
    <row r="190" spans="1:18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8"/>
        <v>10328.879999999999</v>
      </c>
      <c r="P190" s="1" t="str">
        <f t="shared" si="9"/>
        <v>Low Price</v>
      </c>
      <c r="Q190" s="1" t="str">
        <f t="shared" si="10"/>
        <v>High</v>
      </c>
      <c r="R190" s="1" t="str">
        <f t="shared" si="11"/>
        <v>Medium</v>
      </c>
    </row>
    <row r="191" spans="1:18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8"/>
        <v>29252.720000000001</v>
      </c>
      <c r="P191" s="1" t="str">
        <f t="shared" si="9"/>
        <v>High Price</v>
      </c>
      <c r="Q191" s="1" t="str">
        <f t="shared" si="10"/>
        <v>High</v>
      </c>
      <c r="R191" s="1" t="str">
        <f t="shared" si="11"/>
        <v>Medium</v>
      </c>
    </row>
    <row r="192" spans="1:18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8"/>
        <v>15802.850000000002</v>
      </c>
      <c r="P192" s="1" t="str">
        <f t="shared" si="9"/>
        <v>High Price</v>
      </c>
      <c r="Q192" s="1" t="str">
        <f t="shared" si="10"/>
        <v>High</v>
      </c>
      <c r="R192" s="1" t="str">
        <f t="shared" si="11"/>
        <v>Medium</v>
      </c>
    </row>
    <row r="193" spans="1:18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8"/>
        <v>2975.54</v>
      </c>
      <c r="P193" s="1" t="str">
        <f t="shared" si="9"/>
        <v>Low Price</v>
      </c>
      <c r="Q193" s="1" t="str">
        <f t="shared" si="10"/>
        <v>High</v>
      </c>
      <c r="R193" s="1" t="str">
        <f t="shared" si="11"/>
        <v>Low</v>
      </c>
    </row>
    <row r="194" spans="1:18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8"/>
        <v>6878.84</v>
      </c>
      <c r="P194" s="1" t="str">
        <f t="shared" si="9"/>
        <v>Low Price</v>
      </c>
      <c r="Q194" s="1" t="str">
        <f t="shared" si="10"/>
        <v>High</v>
      </c>
      <c r="R194" s="1" t="str">
        <f t="shared" si="11"/>
        <v>Low</v>
      </c>
    </row>
    <row r="195" spans="1:18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12">M195*L195</f>
        <v>3167.1499999999996</v>
      </c>
      <c r="P195" s="1" t="str">
        <f t="shared" ref="P195:P258" si="13">IF(O195&gt;=15000,"High Price","Low Price")</f>
        <v>Low Price</v>
      </c>
      <c r="Q195" s="1" t="str">
        <f t="shared" ref="Q195:Q258" si="14">_xlfn.IFS(N195&gt;=10,"High",N195&gt;=5,"Medium",N195&lt;5,"Low")</f>
        <v>High</v>
      </c>
      <c r="R195" s="1" t="str">
        <f t="shared" ref="R195:R258" si="15">IF(L195&gt;8,"High",IF(L195&gt;4,"Medium","Low"))</f>
        <v>Medium</v>
      </c>
    </row>
    <row r="196" spans="1:18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12"/>
        <v>4856.9400000000005</v>
      </c>
      <c r="P196" s="1" t="str">
        <f t="shared" si="13"/>
        <v>Low Price</v>
      </c>
      <c r="Q196" s="1" t="str">
        <f t="shared" si="14"/>
        <v>Medium</v>
      </c>
      <c r="R196" s="1" t="str">
        <f t="shared" si="15"/>
        <v>Medium</v>
      </c>
    </row>
    <row r="197" spans="1:18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12"/>
        <v>13341.28</v>
      </c>
      <c r="P197" s="1" t="str">
        <f t="shared" si="13"/>
        <v>Low Price</v>
      </c>
      <c r="Q197" s="1" t="str">
        <f t="shared" si="14"/>
        <v>High</v>
      </c>
      <c r="R197" s="1" t="str">
        <f t="shared" si="15"/>
        <v>Low</v>
      </c>
    </row>
    <row r="198" spans="1:18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12"/>
        <v>4803.26</v>
      </c>
      <c r="P198" s="1" t="str">
        <f t="shared" si="13"/>
        <v>Low Price</v>
      </c>
      <c r="Q198" s="1" t="str">
        <f t="shared" si="14"/>
        <v>Low</v>
      </c>
      <c r="R198" s="1" t="str">
        <f t="shared" si="15"/>
        <v>Low</v>
      </c>
    </row>
    <row r="199" spans="1:18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12"/>
        <v>25927.84</v>
      </c>
      <c r="P199" s="1" t="str">
        <f t="shared" si="13"/>
        <v>High Price</v>
      </c>
      <c r="Q199" s="1" t="str">
        <f t="shared" si="14"/>
        <v>Low</v>
      </c>
      <c r="R199" s="1" t="str">
        <f t="shared" si="15"/>
        <v>Medium</v>
      </c>
    </row>
    <row r="200" spans="1:18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12"/>
        <v>27354.11</v>
      </c>
      <c r="P200" s="1" t="str">
        <f t="shared" si="13"/>
        <v>High Price</v>
      </c>
      <c r="Q200" s="1" t="str">
        <f t="shared" si="14"/>
        <v>High</v>
      </c>
      <c r="R200" s="1" t="str">
        <f t="shared" si="15"/>
        <v>Medium</v>
      </c>
    </row>
    <row r="201" spans="1:18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12"/>
        <v>8865.2999999999993</v>
      </c>
      <c r="P201" s="1" t="str">
        <f t="shared" si="13"/>
        <v>Low Price</v>
      </c>
      <c r="Q201" s="1" t="str">
        <f t="shared" si="14"/>
        <v>High</v>
      </c>
      <c r="R201" s="1" t="str">
        <f t="shared" si="15"/>
        <v>Medium</v>
      </c>
    </row>
    <row r="202" spans="1:18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12"/>
        <v>3100.65</v>
      </c>
      <c r="P202" s="1" t="str">
        <f t="shared" si="13"/>
        <v>Low Price</v>
      </c>
      <c r="Q202" s="1" t="str">
        <f t="shared" si="14"/>
        <v>Medium</v>
      </c>
      <c r="R202" s="1" t="str">
        <f t="shared" si="15"/>
        <v>Medium</v>
      </c>
    </row>
    <row r="203" spans="1:18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12"/>
        <v>28153.599999999999</v>
      </c>
      <c r="P203" s="1" t="str">
        <f t="shared" si="13"/>
        <v>High Price</v>
      </c>
      <c r="Q203" s="1" t="str">
        <f t="shared" si="14"/>
        <v>Low</v>
      </c>
      <c r="R203" s="1" t="str">
        <f t="shared" si="15"/>
        <v>Medium</v>
      </c>
    </row>
    <row r="204" spans="1:18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12"/>
        <v>2250.4899999999998</v>
      </c>
      <c r="P204" s="1" t="str">
        <f t="shared" si="13"/>
        <v>Low Price</v>
      </c>
      <c r="Q204" s="1" t="str">
        <f t="shared" si="14"/>
        <v>High</v>
      </c>
      <c r="R204" s="1" t="str">
        <f t="shared" si="15"/>
        <v>Low</v>
      </c>
    </row>
    <row r="205" spans="1:18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12"/>
        <v>556.53</v>
      </c>
      <c r="P205" s="1" t="str">
        <f t="shared" si="13"/>
        <v>Low Price</v>
      </c>
      <c r="Q205" s="1" t="str">
        <f t="shared" si="14"/>
        <v>Medium</v>
      </c>
      <c r="R205" s="1" t="str">
        <f t="shared" si="15"/>
        <v>Low</v>
      </c>
    </row>
    <row r="206" spans="1:18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12"/>
        <v>2270.66</v>
      </c>
      <c r="P206" s="1" t="str">
        <f t="shared" si="13"/>
        <v>Low Price</v>
      </c>
      <c r="Q206" s="1" t="str">
        <f t="shared" si="14"/>
        <v>High</v>
      </c>
      <c r="R206" s="1" t="str">
        <f t="shared" si="15"/>
        <v>Medium</v>
      </c>
    </row>
    <row r="207" spans="1:18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12"/>
        <v>24093.81</v>
      </c>
      <c r="P207" s="1" t="str">
        <f t="shared" si="13"/>
        <v>High Price</v>
      </c>
      <c r="Q207" s="1" t="str">
        <f t="shared" si="14"/>
        <v>High</v>
      </c>
      <c r="R207" s="1" t="str">
        <f t="shared" si="15"/>
        <v>High</v>
      </c>
    </row>
    <row r="208" spans="1:18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12"/>
        <v>2276.16</v>
      </c>
      <c r="P208" s="1" t="str">
        <f t="shared" si="13"/>
        <v>Low Price</v>
      </c>
      <c r="Q208" s="1" t="str">
        <f t="shared" si="14"/>
        <v>High</v>
      </c>
      <c r="R208" s="1" t="str">
        <f t="shared" si="15"/>
        <v>Medium</v>
      </c>
    </row>
    <row r="209" spans="1:18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12"/>
        <v>7921.12</v>
      </c>
      <c r="P209" s="1" t="str">
        <f t="shared" si="13"/>
        <v>Low Price</v>
      </c>
      <c r="Q209" s="1" t="str">
        <f t="shared" si="14"/>
        <v>High</v>
      </c>
      <c r="R209" s="1" t="str">
        <f t="shared" si="15"/>
        <v>Low</v>
      </c>
    </row>
    <row r="210" spans="1:18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12"/>
        <v>2390.2199999999998</v>
      </c>
      <c r="P210" s="1" t="str">
        <f t="shared" si="13"/>
        <v>Low Price</v>
      </c>
      <c r="Q210" s="1" t="str">
        <f t="shared" si="14"/>
        <v>High</v>
      </c>
      <c r="R210" s="1" t="str">
        <f t="shared" si="15"/>
        <v>High</v>
      </c>
    </row>
    <row r="211" spans="1:18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12"/>
        <v>11168.58</v>
      </c>
      <c r="P211" s="1" t="str">
        <f t="shared" si="13"/>
        <v>Low Price</v>
      </c>
      <c r="Q211" s="1" t="str">
        <f t="shared" si="14"/>
        <v>Low</v>
      </c>
      <c r="R211" s="1" t="str">
        <f t="shared" si="15"/>
        <v>Medium</v>
      </c>
    </row>
    <row r="212" spans="1:18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12"/>
        <v>1203.06</v>
      </c>
      <c r="P212" s="1" t="str">
        <f t="shared" si="13"/>
        <v>Low Price</v>
      </c>
      <c r="Q212" s="1" t="str">
        <f t="shared" si="14"/>
        <v>High</v>
      </c>
      <c r="R212" s="1" t="str">
        <f t="shared" si="15"/>
        <v>Low</v>
      </c>
    </row>
    <row r="213" spans="1:18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12"/>
        <v>2402.67</v>
      </c>
      <c r="P213" s="1" t="str">
        <f t="shared" si="13"/>
        <v>Low Price</v>
      </c>
      <c r="Q213" s="1" t="str">
        <f t="shared" si="14"/>
        <v>Low</v>
      </c>
      <c r="R213" s="1" t="str">
        <f t="shared" si="15"/>
        <v>Low</v>
      </c>
    </row>
    <row r="214" spans="1:18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12"/>
        <v>12035.6</v>
      </c>
      <c r="P214" s="1" t="str">
        <f t="shared" si="13"/>
        <v>Low Price</v>
      </c>
      <c r="Q214" s="1" t="str">
        <f t="shared" si="14"/>
        <v>High</v>
      </c>
      <c r="R214" s="1" t="str">
        <f t="shared" si="15"/>
        <v>Medium</v>
      </c>
    </row>
    <row r="215" spans="1:18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12"/>
        <v>3082.45</v>
      </c>
      <c r="P215" s="1" t="str">
        <f t="shared" si="13"/>
        <v>Low Price</v>
      </c>
      <c r="Q215" s="1" t="str">
        <f t="shared" si="14"/>
        <v>Medium</v>
      </c>
      <c r="R215" s="1" t="str">
        <f t="shared" si="15"/>
        <v>Low</v>
      </c>
    </row>
    <row r="216" spans="1:18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12"/>
        <v>14715.89</v>
      </c>
      <c r="P216" s="1" t="str">
        <f t="shared" si="13"/>
        <v>Low Price</v>
      </c>
      <c r="Q216" s="1" t="str">
        <f t="shared" si="14"/>
        <v>High</v>
      </c>
      <c r="R216" s="1" t="str">
        <f t="shared" si="15"/>
        <v>Medium</v>
      </c>
    </row>
    <row r="217" spans="1:18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12"/>
        <v>18241.440000000002</v>
      </c>
      <c r="P217" s="1" t="str">
        <f t="shared" si="13"/>
        <v>High Price</v>
      </c>
      <c r="Q217" s="1" t="str">
        <f t="shared" si="14"/>
        <v>High</v>
      </c>
      <c r="R217" s="1" t="str">
        <f t="shared" si="15"/>
        <v>Medium</v>
      </c>
    </row>
    <row r="218" spans="1:18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12"/>
        <v>3942.92</v>
      </c>
      <c r="P218" s="1" t="str">
        <f t="shared" si="13"/>
        <v>Low Price</v>
      </c>
      <c r="Q218" s="1" t="str">
        <f t="shared" si="14"/>
        <v>Low</v>
      </c>
      <c r="R218" s="1" t="str">
        <f t="shared" si="15"/>
        <v>Low</v>
      </c>
    </row>
    <row r="219" spans="1:18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12"/>
        <v>14578.32</v>
      </c>
      <c r="P219" s="1" t="str">
        <f t="shared" si="13"/>
        <v>Low Price</v>
      </c>
      <c r="Q219" s="1" t="str">
        <f t="shared" si="14"/>
        <v>High</v>
      </c>
      <c r="R219" s="1" t="str">
        <f t="shared" si="15"/>
        <v>Medium</v>
      </c>
    </row>
    <row r="220" spans="1:18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12"/>
        <v>7475.2</v>
      </c>
      <c r="P220" s="1" t="str">
        <f t="shared" si="13"/>
        <v>Low Price</v>
      </c>
      <c r="Q220" s="1" t="str">
        <f t="shared" si="14"/>
        <v>High</v>
      </c>
      <c r="R220" s="1" t="str">
        <f t="shared" si="15"/>
        <v>Low</v>
      </c>
    </row>
    <row r="221" spans="1:18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12"/>
        <v>12661.35</v>
      </c>
      <c r="P221" s="1" t="str">
        <f t="shared" si="13"/>
        <v>Low Price</v>
      </c>
      <c r="Q221" s="1" t="str">
        <f t="shared" si="14"/>
        <v>High</v>
      </c>
      <c r="R221" s="1" t="str">
        <f t="shared" si="15"/>
        <v>Medium</v>
      </c>
    </row>
    <row r="222" spans="1:18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12"/>
        <v>5423.32</v>
      </c>
      <c r="P222" s="1" t="str">
        <f t="shared" si="13"/>
        <v>Low Price</v>
      </c>
      <c r="Q222" s="1" t="str">
        <f t="shared" si="14"/>
        <v>Low</v>
      </c>
      <c r="R222" s="1" t="str">
        <f t="shared" si="15"/>
        <v>Low</v>
      </c>
    </row>
    <row r="223" spans="1:18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12"/>
        <v>721.8</v>
      </c>
      <c r="P223" s="1" t="str">
        <f t="shared" si="13"/>
        <v>Low Price</v>
      </c>
      <c r="Q223" s="1" t="str">
        <f t="shared" si="14"/>
        <v>Medium</v>
      </c>
      <c r="R223" s="1" t="str">
        <f t="shared" si="15"/>
        <v>Low</v>
      </c>
    </row>
    <row r="224" spans="1:18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12"/>
        <v>1941.96</v>
      </c>
      <c r="P224" s="1" t="str">
        <f t="shared" si="13"/>
        <v>Low Price</v>
      </c>
      <c r="Q224" s="1" t="str">
        <f t="shared" si="14"/>
        <v>Medium</v>
      </c>
      <c r="R224" s="1" t="str">
        <f t="shared" si="15"/>
        <v>Low</v>
      </c>
    </row>
    <row r="225" spans="1:18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12"/>
        <v>1066.5</v>
      </c>
      <c r="P225" s="1" t="str">
        <f t="shared" si="13"/>
        <v>Low Price</v>
      </c>
      <c r="Q225" s="1" t="str">
        <f t="shared" si="14"/>
        <v>Low</v>
      </c>
      <c r="R225" s="1" t="str">
        <f t="shared" si="15"/>
        <v>Low</v>
      </c>
    </row>
    <row r="226" spans="1:18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12"/>
        <v>17306.03</v>
      </c>
      <c r="P226" s="1" t="str">
        <f t="shared" si="13"/>
        <v>High Price</v>
      </c>
      <c r="Q226" s="1" t="str">
        <f t="shared" si="14"/>
        <v>High</v>
      </c>
      <c r="R226" s="1" t="str">
        <f t="shared" si="15"/>
        <v>Medium</v>
      </c>
    </row>
    <row r="227" spans="1:18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12"/>
        <v>15161.02</v>
      </c>
      <c r="P227" s="1" t="str">
        <f t="shared" si="13"/>
        <v>High Price</v>
      </c>
      <c r="Q227" s="1" t="str">
        <f t="shared" si="14"/>
        <v>Low</v>
      </c>
      <c r="R227" s="1" t="str">
        <f t="shared" si="15"/>
        <v>Medium</v>
      </c>
    </row>
    <row r="228" spans="1:18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12"/>
        <v>4505.2</v>
      </c>
      <c r="P228" s="1" t="str">
        <f t="shared" si="13"/>
        <v>Low Price</v>
      </c>
      <c r="Q228" s="1" t="str">
        <f t="shared" si="14"/>
        <v>High</v>
      </c>
      <c r="R228" s="1" t="str">
        <f t="shared" si="15"/>
        <v>Low</v>
      </c>
    </row>
    <row r="229" spans="1:18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12"/>
        <v>16360.72</v>
      </c>
      <c r="P229" s="1" t="str">
        <f t="shared" si="13"/>
        <v>High Price</v>
      </c>
      <c r="Q229" s="1" t="str">
        <f t="shared" si="14"/>
        <v>High</v>
      </c>
      <c r="R229" s="1" t="str">
        <f t="shared" si="15"/>
        <v>Medium</v>
      </c>
    </row>
    <row r="230" spans="1:18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12"/>
        <v>900.78</v>
      </c>
      <c r="P230" s="1" t="str">
        <f t="shared" si="13"/>
        <v>Low Price</v>
      </c>
      <c r="Q230" s="1" t="str">
        <f t="shared" si="14"/>
        <v>Medium</v>
      </c>
      <c r="R230" s="1" t="str">
        <f t="shared" si="15"/>
        <v>Low</v>
      </c>
    </row>
    <row r="231" spans="1:18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12"/>
        <v>2660.56</v>
      </c>
      <c r="P231" s="1" t="str">
        <f t="shared" si="13"/>
        <v>Low Price</v>
      </c>
      <c r="Q231" s="1" t="str">
        <f t="shared" si="14"/>
        <v>High</v>
      </c>
      <c r="R231" s="1" t="str">
        <f t="shared" si="15"/>
        <v>Low</v>
      </c>
    </row>
    <row r="232" spans="1:18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12"/>
        <v>15782.7</v>
      </c>
      <c r="P232" s="1" t="str">
        <f t="shared" si="13"/>
        <v>High Price</v>
      </c>
      <c r="Q232" s="1" t="str">
        <f t="shared" si="14"/>
        <v>High</v>
      </c>
      <c r="R232" s="1" t="str">
        <f t="shared" si="15"/>
        <v>Medium</v>
      </c>
    </row>
    <row r="233" spans="1:18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12"/>
        <v>19182.78</v>
      </c>
      <c r="P233" s="1" t="str">
        <f t="shared" si="13"/>
        <v>High Price</v>
      </c>
      <c r="Q233" s="1" t="str">
        <f t="shared" si="14"/>
        <v>High</v>
      </c>
      <c r="R233" s="1" t="str">
        <f t="shared" si="15"/>
        <v>Medium</v>
      </c>
    </row>
    <row r="234" spans="1:18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12"/>
        <v>7408.5300000000007</v>
      </c>
      <c r="P234" s="1" t="str">
        <f t="shared" si="13"/>
        <v>Low Price</v>
      </c>
      <c r="Q234" s="1" t="str">
        <f t="shared" si="14"/>
        <v>Low</v>
      </c>
      <c r="R234" s="1" t="str">
        <f t="shared" si="15"/>
        <v>Low</v>
      </c>
    </row>
    <row r="235" spans="1:18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12"/>
        <v>2309.2799999999997</v>
      </c>
      <c r="P235" s="1" t="str">
        <f t="shared" si="13"/>
        <v>Low Price</v>
      </c>
      <c r="Q235" s="1" t="str">
        <f t="shared" si="14"/>
        <v>Medium</v>
      </c>
      <c r="R235" s="1" t="str">
        <f t="shared" si="15"/>
        <v>Medium</v>
      </c>
    </row>
    <row r="236" spans="1:18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12"/>
        <v>5032.6000000000004</v>
      </c>
      <c r="P236" s="1" t="str">
        <f t="shared" si="13"/>
        <v>Low Price</v>
      </c>
      <c r="Q236" s="1" t="str">
        <f t="shared" si="14"/>
        <v>Low</v>
      </c>
      <c r="R236" s="1" t="str">
        <f t="shared" si="15"/>
        <v>Low</v>
      </c>
    </row>
    <row r="237" spans="1:18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12"/>
        <v>3563.7000000000003</v>
      </c>
      <c r="P237" s="1" t="str">
        <f t="shared" si="13"/>
        <v>Low Price</v>
      </c>
      <c r="Q237" s="1" t="str">
        <f t="shared" si="14"/>
        <v>High</v>
      </c>
      <c r="R237" s="1" t="str">
        <f t="shared" si="15"/>
        <v>Medium</v>
      </c>
    </row>
    <row r="238" spans="1:18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12"/>
        <v>6030.5399999999991</v>
      </c>
      <c r="P238" s="1" t="str">
        <f t="shared" si="13"/>
        <v>Low Price</v>
      </c>
      <c r="Q238" s="1" t="str">
        <f t="shared" si="14"/>
        <v>High</v>
      </c>
      <c r="R238" s="1" t="str">
        <f t="shared" si="15"/>
        <v>High</v>
      </c>
    </row>
    <row r="239" spans="1:18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12"/>
        <v>30272.959999999999</v>
      </c>
      <c r="P239" s="1" t="str">
        <f t="shared" si="13"/>
        <v>High Price</v>
      </c>
      <c r="Q239" s="1" t="str">
        <f t="shared" si="14"/>
        <v>High</v>
      </c>
      <c r="R239" s="1" t="str">
        <f t="shared" si="15"/>
        <v>Medium</v>
      </c>
    </row>
    <row r="240" spans="1:18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12"/>
        <v>15492.2</v>
      </c>
      <c r="P240" s="1" t="str">
        <f t="shared" si="13"/>
        <v>High Price</v>
      </c>
      <c r="Q240" s="1" t="str">
        <f t="shared" si="14"/>
        <v>Low</v>
      </c>
      <c r="R240" s="1" t="str">
        <f t="shared" si="15"/>
        <v>Medium</v>
      </c>
    </row>
    <row r="241" spans="1:18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12"/>
        <v>1324.74</v>
      </c>
      <c r="P241" s="1" t="str">
        <f t="shared" si="13"/>
        <v>Low Price</v>
      </c>
      <c r="Q241" s="1" t="str">
        <f t="shared" si="14"/>
        <v>Medium</v>
      </c>
      <c r="R241" s="1" t="str">
        <f t="shared" si="15"/>
        <v>Medium</v>
      </c>
    </row>
    <row r="242" spans="1:18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12"/>
        <v>11619.960000000001</v>
      </c>
      <c r="P242" s="1" t="str">
        <f t="shared" si="13"/>
        <v>Low Price</v>
      </c>
      <c r="Q242" s="1" t="str">
        <f t="shared" si="14"/>
        <v>Low</v>
      </c>
      <c r="R242" s="1" t="str">
        <f t="shared" si="15"/>
        <v>Medium</v>
      </c>
    </row>
    <row r="243" spans="1:18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12"/>
        <v>9776.9700000000012</v>
      </c>
      <c r="P243" s="1" t="str">
        <f t="shared" si="13"/>
        <v>Low Price</v>
      </c>
      <c r="Q243" s="1" t="str">
        <f t="shared" si="14"/>
        <v>High</v>
      </c>
      <c r="R243" s="1" t="str">
        <f t="shared" si="15"/>
        <v>Medium</v>
      </c>
    </row>
    <row r="244" spans="1:18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12"/>
        <v>21563.119999999999</v>
      </c>
      <c r="P244" s="1" t="str">
        <f t="shared" si="13"/>
        <v>High Price</v>
      </c>
      <c r="Q244" s="1" t="str">
        <f t="shared" si="14"/>
        <v>High</v>
      </c>
      <c r="R244" s="1" t="str">
        <f t="shared" si="15"/>
        <v>Medium</v>
      </c>
    </row>
    <row r="245" spans="1:18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12"/>
        <v>23949.99</v>
      </c>
      <c r="P245" s="1" t="str">
        <f t="shared" si="13"/>
        <v>High Price</v>
      </c>
      <c r="Q245" s="1" t="str">
        <f t="shared" si="14"/>
        <v>High</v>
      </c>
      <c r="R245" s="1" t="str">
        <f t="shared" si="15"/>
        <v>High</v>
      </c>
    </row>
    <row r="246" spans="1:18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12"/>
        <v>2902.4700000000003</v>
      </c>
      <c r="P246" s="1" t="str">
        <f t="shared" si="13"/>
        <v>Low Price</v>
      </c>
      <c r="Q246" s="1" t="str">
        <f t="shared" si="14"/>
        <v>Low</v>
      </c>
      <c r="R246" s="1" t="str">
        <f t="shared" si="15"/>
        <v>Low</v>
      </c>
    </row>
    <row r="247" spans="1:18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12"/>
        <v>619.73</v>
      </c>
      <c r="P247" s="1" t="str">
        <f t="shared" si="13"/>
        <v>Low Price</v>
      </c>
      <c r="Q247" s="1" t="str">
        <f t="shared" si="14"/>
        <v>Low</v>
      </c>
      <c r="R247" s="1" t="str">
        <f t="shared" si="15"/>
        <v>Low</v>
      </c>
    </row>
    <row r="248" spans="1:18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12"/>
        <v>14251.65</v>
      </c>
      <c r="P248" s="1" t="str">
        <f t="shared" si="13"/>
        <v>Low Price</v>
      </c>
      <c r="Q248" s="1" t="str">
        <f t="shared" si="14"/>
        <v>Medium</v>
      </c>
      <c r="R248" s="1" t="str">
        <f t="shared" si="15"/>
        <v>Medium</v>
      </c>
    </row>
    <row r="249" spans="1:18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12"/>
        <v>4456.13</v>
      </c>
      <c r="P249" s="1" t="str">
        <f t="shared" si="13"/>
        <v>Low Price</v>
      </c>
      <c r="Q249" s="1" t="str">
        <f t="shared" si="14"/>
        <v>Medium</v>
      </c>
      <c r="R249" s="1" t="str">
        <f t="shared" si="15"/>
        <v>Medium</v>
      </c>
    </row>
    <row r="250" spans="1:18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12"/>
        <v>1543.1999999999998</v>
      </c>
      <c r="P250" s="1" t="str">
        <f t="shared" si="13"/>
        <v>Low Price</v>
      </c>
      <c r="Q250" s="1" t="str">
        <f t="shared" si="14"/>
        <v>Low</v>
      </c>
      <c r="R250" s="1" t="str">
        <f t="shared" si="15"/>
        <v>Medium</v>
      </c>
    </row>
    <row r="251" spans="1:18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12"/>
        <v>10190.08</v>
      </c>
      <c r="P251" s="1" t="str">
        <f t="shared" si="13"/>
        <v>Low Price</v>
      </c>
      <c r="Q251" s="1" t="str">
        <f t="shared" si="14"/>
        <v>High</v>
      </c>
      <c r="R251" s="1" t="str">
        <f t="shared" si="15"/>
        <v>Low</v>
      </c>
    </row>
    <row r="252" spans="1:18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12"/>
        <v>6512.04</v>
      </c>
      <c r="P252" s="1" t="str">
        <f t="shared" si="13"/>
        <v>Low Price</v>
      </c>
      <c r="Q252" s="1" t="str">
        <f t="shared" si="14"/>
        <v>High</v>
      </c>
      <c r="R252" s="1" t="str">
        <f t="shared" si="15"/>
        <v>Low</v>
      </c>
    </row>
    <row r="253" spans="1:18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12"/>
        <v>3391.76</v>
      </c>
      <c r="P253" s="1" t="str">
        <f t="shared" si="13"/>
        <v>Low Price</v>
      </c>
      <c r="Q253" s="1" t="str">
        <f t="shared" si="14"/>
        <v>High</v>
      </c>
      <c r="R253" s="1" t="str">
        <f t="shared" si="15"/>
        <v>Low</v>
      </c>
    </row>
    <row r="254" spans="1:18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12"/>
        <v>8033.8</v>
      </c>
      <c r="P254" s="1" t="str">
        <f t="shared" si="13"/>
        <v>Low Price</v>
      </c>
      <c r="Q254" s="1" t="str">
        <f t="shared" si="14"/>
        <v>Medium</v>
      </c>
      <c r="R254" s="1" t="str">
        <f t="shared" si="15"/>
        <v>Low</v>
      </c>
    </row>
    <row r="255" spans="1:18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12"/>
        <v>12572.8</v>
      </c>
      <c r="P255" s="1" t="str">
        <f t="shared" si="13"/>
        <v>Low Price</v>
      </c>
      <c r="Q255" s="1" t="str">
        <f t="shared" si="14"/>
        <v>Low</v>
      </c>
      <c r="R255" s="1" t="str">
        <f t="shared" si="15"/>
        <v>Low</v>
      </c>
    </row>
    <row r="256" spans="1:18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12"/>
        <v>2740.46</v>
      </c>
      <c r="P256" s="1" t="str">
        <f t="shared" si="13"/>
        <v>Low Price</v>
      </c>
      <c r="Q256" s="1" t="str">
        <f t="shared" si="14"/>
        <v>High</v>
      </c>
      <c r="R256" s="1" t="str">
        <f t="shared" si="15"/>
        <v>Low</v>
      </c>
    </row>
    <row r="257" spans="1:18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12"/>
        <v>8186.04</v>
      </c>
      <c r="P257" s="1" t="str">
        <f t="shared" si="13"/>
        <v>Low Price</v>
      </c>
      <c r="Q257" s="1" t="str">
        <f t="shared" si="14"/>
        <v>Medium</v>
      </c>
      <c r="R257" s="1" t="str">
        <f t="shared" si="15"/>
        <v>Low</v>
      </c>
    </row>
    <row r="258" spans="1:18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12"/>
        <v>2588.64</v>
      </c>
      <c r="P258" s="1" t="str">
        <f t="shared" si="13"/>
        <v>Low Price</v>
      </c>
      <c r="Q258" s="1" t="str">
        <f t="shared" si="14"/>
        <v>Low</v>
      </c>
      <c r="R258" s="1" t="str">
        <f t="shared" si="15"/>
        <v>Low</v>
      </c>
    </row>
    <row r="259" spans="1:18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6">M259*L259</f>
        <v>3251.27</v>
      </c>
      <c r="P259" s="1" t="str">
        <f t="shared" ref="P259:P322" si="17">IF(O259&gt;=15000,"High Price","Low Price")</f>
        <v>Low Price</v>
      </c>
      <c r="Q259" s="1" t="str">
        <f t="shared" ref="Q259:Q322" si="18">_xlfn.IFS(N259&gt;=10,"High",N259&gt;=5,"Medium",N259&lt;5,"Low")</f>
        <v>High</v>
      </c>
      <c r="R259" s="1" t="str">
        <f t="shared" ref="R259:R322" si="19">IF(L259&gt;8,"High",IF(L259&gt;4,"Medium","Low"))</f>
        <v>Low</v>
      </c>
    </row>
    <row r="260" spans="1:18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6"/>
        <v>1681.85</v>
      </c>
      <c r="P260" s="1" t="str">
        <f t="shared" si="17"/>
        <v>Low Price</v>
      </c>
      <c r="Q260" s="1" t="str">
        <f t="shared" si="18"/>
        <v>Medium</v>
      </c>
      <c r="R260" s="1" t="str">
        <f t="shared" si="19"/>
        <v>Low</v>
      </c>
    </row>
    <row r="261" spans="1:18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6"/>
        <v>26024.16</v>
      </c>
      <c r="P261" s="1" t="str">
        <f t="shared" si="17"/>
        <v>High Price</v>
      </c>
      <c r="Q261" s="1" t="str">
        <f t="shared" si="18"/>
        <v>High</v>
      </c>
      <c r="R261" s="1" t="str">
        <f t="shared" si="19"/>
        <v>Medium</v>
      </c>
    </row>
    <row r="262" spans="1:18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6"/>
        <v>19434.080000000002</v>
      </c>
      <c r="P262" s="1" t="str">
        <f t="shared" si="17"/>
        <v>High Price</v>
      </c>
      <c r="Q262" s="1" t="str">
        <f t="shared" si="18"/>
        <v>High</v>
      </c>
      <c r="R262" s="1" t="str">
        <f t="shared" si="19"/>
        <v>Medium</v>
      </c>
    </row>
    <row r="263" spans="1:18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6"/>
        <v>1577.44</v>
      </c>
      <c r="P263" s="1" t="str">
        <f t="shared" si="17"/>
        <v>Low Price</v>
      </c>
      <c r="Q263" s="1" t="str">
        <f t="shared" si="18"/>
        <v>High</v>
      </c>
      <c r="R263" s="1" t="str">
        <f t="shared" si="19"/>
        <v>Low</v>
      </c>
    </row>
    <row r="264" spans="1:18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6"/>
        <v>1715.21</v>
      </c>
      <c r="P264" s="1" t="str">
        <f t="shared" si="17"/>
        <v>Low Price</v>
      </c>
      <c r="Q264" s="1" t="str">
        <f t="shared" si="18"/>
        <v>Low</v>
      </c>
      <c r="R264" s="1" t="str">
        <f t="shared" si="19"/>
        <v>Medium</v>
      </c>
    </row>
    <row r="265" spans="1:18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6"/>
        <v>18038.240000000002</v>
      </c>
      <c r="P265" s="1" t="str">
        <f t="shared" si="17"/>
        <v>High Price</v>
      </c>
      <c r="Q265" s="1" t="str">
        <f t="shared" si="18"/>
        <v>Low</v>
      </c>
      <c r="R265" s="1" t="str">
        <f t="shared" si="19"/>
        <v>Medium</v>
      </c>
    </row>
    <row r="266" spans="1:18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6"/>
        <v>23683.17</v>
      </c>
      <c r="P266" s="1" t="str">
        <f t="shared" si="17"/>
        <v>High Price</v>
      </c>
      <c r="Q266" s="1" t="str">
        <f t="shared" si="18"/>
        <v>High</v>
      </c>
      <c r="R266" s="1" t="str">
        <f t="shared" si="19"/>
        <v>Medium</v>
      </c>
    </row>
    <row r="267" spans="1:18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6"/>
        <v>3204.1000000000004</v>
      </c>
      <c r="P267" s="1" t="str">
        <f t="shared" si="17"/>
        <v>Low Price</v>
      </c>
      <c r="Q267" s="1" t="str">
        <f t="shared" si="18"/>
        <v>Low</v>
      </c>
      <c r="R267" s="1" t="str">
        <f t="shared" si="19"/>
        <v>Medium</v>
      </c>
    </row>
    <row r="268" spans="1:18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6"/>
        <v>31253.22</v>
      </c>
      <c r="P268" s="1" t="str">
        <f t="shared" si="17"/>
        <v>High Price</v>
      </c>
      <c r="Q268" s="1" t="str">
        <f t="shared" si="18"/>
        <v>High</v>
      </c>
      <c r="R268" s="1" t="str">
        <f t="shared" si="19"/>
        <v>High</v>
      </c>
    </row>
    <row r="269" spans="1:18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6"/>
        <v>5111.05</v>
      </c>
      <c r="P269" s="1" t="str">
        <f t="shared" si="17"/>
        <v>Low Price</v>
      </c>
      <c r="Q269" s="1" t="str">
        <f t="shared" si="18"/>
        <v>Low</v>
      </c>
      <c r="R269" s="1" t="str">
        <f t="shared" si="19"/>
        <v>Medium</v>
      </c>
    </row>
    <row r="270" spans="1:18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6"/>
        <v>6857.28</v>
      </c>
      <c r="P270" s="1" t="str">
        <f t="shared" si="17"/>
        <v>Low Price</v>
      </c>
      <c r="Q270" s="1" t="str">
        <f t="shared" si="18"/>
        <v>High</v>
      </c>
      <c r="R270" s="1" t="str">
        <f t="shared" si="19"/>
        <v>Low</v>
      </c>
    </row>
    <row r="271" spans="1:18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6"/>
        <v>23802.6</v>
      </c>
      <c r="P271" s="1" t="str">
        <f t="shared" si="17"/>
        <v>High Price</v>
      </c>
      <c r="Q271" s="1" t="str">
        <f t="shared" si="18"/>
        <v>Low</v>
      </c>
      <c r="R271" s="1" t="str">
        <f t="shared" si="19"/>
        <v>Medium</v>
      </c>
    </row>
    <row r="272" spans="1:18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6"/>
        <v>5896.66</v>
      </c>
      <c r="P272" s="1" t="str">
        <f t="shared" si="17"/>
        <v>Low Price</v>
      </c>
      <c r="Q272" s="1" t="str">
        <f t="shared" si="18"/>
        <v>High</v>
      </c>
      <c r="R272" s="1" t="str">
        <f t="shared" si="19"/>
        <v>Low</v>
      </c>
    </row>
    <row r="273" spans="1:18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6"/>
        <v>3171.36</v>
      </c>
      <c r="P273" s="1" t="str">
        <f t="shared" si="17"/>
        <v>Low Price</v>
      </c>
      <c r="Q273" s="1" t="str">
        <f t="shared" si="18"/>
        <v>High</v>
      </c>
      <c r="R273" s="1" t="str">
        <f t="shared" si="19"/>
        <v>Low</v>
      </c>
    </row>
    <row r="274" spans="1:18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6"/>
        <v>27849.5</v>
      </c>
      <c r="P274" s="1" t="str">
        <f t="shared" si="17"/>
        <v>High Price</v>
      </c>
      <c r="Q274" s="1" t="str">
        <f t="shared" si="18"/>
        <v>High</v>
      </c>
      <c r="R274" s="1" t="str">
        <f t="shared" si="19"/>
        <v>Medium</v>
      </c>
    </row>
    <row r="275" spans="1:18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6"/>
        <v>2670.72</v>
      </c>
      <c r="P275" s="1" t="str">
        <f t="shared" si="17"/>
        <v>Low Price</v>
      </c>
      <c r="Q275" s="1" t="str">
        <f t="shared" si="18"/>
        <v>Medium</v>
      </c>
      <c r="R275" s="1" t="str">
        <f t="shared" si="19"/>
        <v>Low</v>
      </c>
    </row>
    <row r="276" spans="1:18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6"/>
        <v>1126.5</v>
      </c>
      <c r="P276" s="1" t="str">
        <f t="shared" si="17"/>
        <v>Low Price</v>
      </c>
      <c r="Q276" s="1" t="str">
        <f t="shared" si="18"/>
        <v>High</v>
      </c>
      <c r="R276" s="1" t="str">
        <f t="shared" si="19"/>
        <v>Low</v>
      </c>
    </row>
    <row r="277" spans="1:18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6"/>
        <v>1393.26</v>
      </c>
      <c r="P277" s="1" t="str">
        <f t="shared" si="17"/>
        <v>Low Price</v>
      </c>
      <c r="Q277" s="1" t="str">
        <f t="shared" si="18"/>
        <v>High</v>
      </c>
      <c r="R277" s="1" t="str">
        <f t="shared" si="19"/>
        <v>Low</v>
      </c>
    </row>
    <row r="278" spans="1:18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6"/>
        <v>14834.04</v>
      </c>
      <c r="P278" s="1" t="str">
        <f t="shared" si="17"/>
        <v>Low Price</v>
      </c>
      <c r="Q278" s="1" t="str">
        <f t="shared" si="18"/>
        <v>Medium</v>
      </c>
      <c r="R278" s="1" t="str">
        <f t="shared" si="19"/>
        <v>Low</v>
      </c>
    </row>
    <row r="279" spans="1:18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6"/>
        <v>2567.7199999999998</v>
      </c>
      <c r="P279" s="1" t="str">
        <f t="shared" si="17"/>
        <v>Low Price</v>
      </c>
      <c r="Q279" s="1" t="str">
        <f t="shared" si="18"/>
        <v>Low</v>
      </c>
      <c r="R279" s="1" t="str">
        <f t="shared" si="19"/>
        <v>Low</v>
      </c>
    </row>
    <row r="280" spans="1:18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6"/>
        <v>9265.5499999999993</v>
      </c>
      <c r="P280" s="1" t="str">
        <f t="shared" si="17"/>
        <v>Low Price</v>
      </c>
      <c r="Q280" s="1" t="str">
        <f t="shared" si="18"/>
        <v>High</v>
      </c>
      <c r="R280" s="1" t="str">
        <f t="shared" si="19"/>
        <v>Medium</v>
      </c>
    </row>
    <row r="281" spans="1:18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6"/>
        <v>2194.5699999999997</v>
      </c>
      <c r="P281" s="1" t="str">
        <f t="shared" si="17"/>
        <v>Low Price</v>
      </c>
      <c r="Q281" s="1" t="str">
        <f t="shared" si="18"/>
        <v>Low</v>
      </c>
      <c r="R281" s="1" t="str">
        <f t="shared" si="19"/>
        <v>Medium</v>
      </c>
    </row>
    <row r="282" spans="1:18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6"/>
        <v>11143.24</v>
      </c>
      <c r="P282" s="1" t="str">
        <f t="shared" si="17"/>
        <v>Low Price</v>
      </c>
      <c r="Q282" s="1" t="str">
        <f t="shared" si="18"/>
        <v>High</v>
      </c>
      <c r="R282" s="1" t="str">
        <f t="shared" si="19"/>
        <v>Low</v>
      </c>
    </row>
    <row r="283" spans="1:18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6"/>
        <v>3625.42</v>
      </c>
      <c r="P283" s="1" t="str">
        <f t="shared" si="17"/>
        <v>Low Price</v>
      </c>
      <c r="Q283" s="1" t="str">
        <f t="shared" si="18"/>
        <v>High</v>
      </c>
      <c r="R283" s="1" t="str">
        <f t="shared" si="19"/>
        <v>Low</v>
      </c>
    </row>
    <row r="284" spans="1:18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6"/>
        <v>2561.48</v>
      </c>
      <c r="P284" s="1" t="str">
        <f t="shared" si="17"/>
        <v>Low Price</v>
      </c>
      <c r="Q284" s="1" t="str">
        <f t="shared" si="18"/>
        <v>High</v>
      </c>
      <c r="R284" s="1" t="str">
        <f t="shared" si="19"/>
        <v>Low</v>
      </c>
    </row>
    <row r="285" spans="1:18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6"/>
        <v>3708.38</v>
      </c>
      <c r="P285" s="1" t="str">
        <f t="shared" si="17"/>
        <v>Low Price</v>
      </c>
      <c r="Q285" s="1" t="str">
        <f t="shared" si="18"/>
        <v>High</v>
      </c>
      <c r="R285" s="1" t="str">
        <f t="shared" si="19"/>
        <v>Low</v>
      </c>
    </row>
    <row r="286" spans="1:18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6"/>
        <v>5770.74</v>
      </c>
      <c r="P286" s="1" t="str">
        <f t="shared" si="17"/>
        <v>Low Price</v>
      </c>
      <c r="Q286" s="1" t="str">
        <f t="shared" si="18"/>
        <v>High</v>
      </c>
      <c r="R286" s="1" t="str">
        <f t="shared" si="19"/>
        <v>Low</v>
      </c>
    </row>
    <row r="287" spans="1:18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6"/>
        <v>4142.08</v>
      </c>
      <c r="P287" s="1" t="str">
        <f t="shared" si="17"/>
        <v>Low Price</v>
      </c>
      <c r="Q287" s="1" t="str">
        <f t="shared" si="18"/>
        <v>High</v>
      </c>
      <c r="R287" s="1" t="str">
        <f t="shared" si="19"/>
        <v>Low</v>
      </c>
    </row>
    <row r="288" spans="1:18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6"/>
        <v>23695.920000000002</v>
      </c>
      <c r="P288" s="1" t="str">
        <f t="shared" si="17"/>
        <v>High Price</v>
      </c>
      <c r="Q288" s="1" t="str">
        <f t="shared" si="18"/>
        <v>Medium</v>
      </c>
      <c r="R288" s="1" t="str">
        <f t="shared" si="19"/>
        <v>High</v>
      </c>
    </row>
    <row r="289" spans="1:18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6"/>
        <v>11337.93</v>
      </c>
      <c r="P289" s="1" t="str">
        <f t="shared" si="17"/>
        <v>Low Price</v>
      </c>
      <c r="Q289" s="1" t="str">
        <f t="shared" si="18"/>
        <v>High</v>
      </c>
      <c r="R289" s="1" t="str">
        <f t="shared" si="19"/>
        <v>High</v>
      </c>
    </row>
    <row r="290" spans="1:18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6"/>
        <v>10402.48</v>
      </c>
      <c r="P290" s="1" t="str">
        <f t="shared" si="17"/>
        <v>Low Price</v>
      </c>
      <c r="Q290" s="1" t="str">
        <f t="shared" si="18"/>
        <v>Low</v>
      </c>
      <c r="R290" s="1" t="str">
        <f t="shared" si="19"/>
        <v>Medium</v>
      </c>
    </row>
    <row r="291" spans="1:18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6"/>
        <v>28648.959999999999</v>
      </c>
      <c r="P291" s="1" t="str">
        <f t="shared" si="17"/>
        <v>High Price</v>
      </c>
      <c r="Q291" s="1" t="str">
        <f t="shared" si="18"/>
        <v>High</v>
      </c>
      <c r="R291" s="1" t="str">
        <f t="shared" si="19"/>
        <v>Medium</v>
      </c>
    </row>
    <row r="292" spans="1:18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6"/>
        <v>202.49</v>
      </c>
      <c r="P292" s="1" t="str">
        <f t="shared" si="17"/>
        <v>Low Price</v>
      </c>
      <c r="Q292" s="1" t="str">
        <f t="shared" si="18"/>
        <v>Medium</v>
      </c>
      <c r="R292" s="1" t="str">
        <f t="shared" si="19"/>
        <v>Low</v>
      </c>
    </row>
    <row r="293" spans="1:18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6"/>
        <v>11140</v>
      </c>
      <c r="P293" s="1" t="str">
        <f t="shared" si="17"/>
        <v>Low Price</v>
      </c>
      <c r="Q293" s="1" t="str">
        <f t="shared" si="18"/>
        <v>High</v>
      </c>
      <c r="R293" s="1" t="str">
        <f t="shared" si="19"/>
        <v>Medium</v>
      </c>
    </row>
    <row r="294" spans="1:18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6"/>
        <v>6852.8099999999995</v>
      </c>
      <c r="P294" s="1" t="str">
        <f t="shared" si="17"/>
        <v>Low Price</v>
      </c>
      <c r="Q294" s="1" t="str">
        <f t="shared" si="18"/>
        <v>High</v>
      </c>
      <c r="R294" s="1" t="str">
        <f t="shared" si="19"/>
        <v>Low</v>
      </c>
    </row>
    <row r="295" spans="1:18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6"/>
        <v>17967.3</v>
      </c>
      <c r="P295" s="1" t="str">
        <f t="shared" si="17"/>
        <v>High Price</v>
      </c>
      <c r="Q295" s="1" t="str">
        <f t="shared" si="18"/>
        <v>High</v>
      </c>
      <c r="R295" s="1" t="str">
        <f t="shared" si="19"/>
        <v>Medium</v>
      </c>
    </row>
    <row r="296" spans="1:18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6"/>
        <v>16604.400000000001</v>
      </c>
      <c r="P296" s="1" t="str">
        <f t="shared" si="17"/>
        <v>High Price</v>
      </c>
      <c r="Q296" s="1" t="str">
        <f t="shared" si="18"/>
        <v>Low</v>
      </c>
      <c r="R296" s="1" t="str">
        <f t="shared" si="19"/>
        <v>Medium</v>
      </c>
    </row>
    <row r="297" spans="1:18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6"/>
        <v>28882.639999999999</v>
      </c>
      <c r="P297" s="1" t="str">
        <f t="shared" si="17"/>
        <v>High Price</v>
      </c>
      <c r="Q297" s="1" t="str">
        <f t="shared" si="18"/>
        <v>Medium</v>
      </c>
      <c r="R297" s="1" t="str">
        <f t="shared" si="19"/>
        <v>Medium</v>
      </c>
    </row>
    <row r="298" spans="1:18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6"/>
        <v>26217.52</v>
      </c>
      <c r="P298" s="1" t="str">
        <f t="shared" si="17"/>
        <v>High Price</v>
      </c>
      <c r="Q298" s="1" t="str">
        <f t="shared" si="18"/>
        <v>High</v>
      </c>
      <c r="R298" s="1" t="str">
        <f t="shared" si="19"/>
        <v>Medium</v>
      </c>
    </row>
    <row r="299" spans="1:18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6"/>
        <v>9771.36</v>
      </c>
      <c r="P299" s="1" t="str">
        <f t="shared" si="17"/>
        <v>Low Price</v>
      </c>
      <c r="Q299" s="1" t="str">
        <f t="shared" si="18"/>
        <v>Low</v>
      </c>
      <c r="R299" s="1" t="str">
        <f t="shared" si="19"/>
        <v>Medium</v>
      </c>
    </row>
    <row r="300" spans="1:18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6"/>
        <v>16290.78</v>
      </c>
      <c r="P300" s="1" t="str">
        <f t="shared" si="17"/>
        <v>High Price</v>
      </c>
      <c r="Q300" s="1" t="str">
        <f t="shared" si="18"/>
        <v>High</v>
      </c>
      <c r="R300" s="1" t="str">
        <f t="shared" si="19"/>
        <v>Medium</v>
      </c>
    </row>
    <row r="301" spans="1:18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6"/>
        <v>7914.04</v>
      </c>
      <c r="P301" s="1" t="str">
        <f t="shared" si="17"/>
        <v>Low Price</v>
      </c>
      <c r="Q301" s="1" t="str">
        <f t="shared" si="18"/>
        <v>Medium</v>
      </c>
      <c r="R301" s="1" t="str">
        <f t="shared" si="19"/>
        <v>Low</v>
      </c>
    </row>
    <row r="302" spans="1:18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6"/>
        <v>6114.2999999999993</v>
      </c>
      <c r="P302" s="1" t="str">
        <f t="shared" si="17"/>
        <v>Low Price</v>
      </c>
      <c r="Q302" s="1" t="str">
        <f t="shared" si="18"/>
        <v>Low</v>
      </c>
      <c r="R302" s="1" t="str">
        <f t="shared" si="19"/>
        <v>Medium</v>
      </c>
    </row>
    <row r="303" spans="1:18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6"/>
        <v>8255.5499999999993</v>
      </c>
      <c r="P303" s="1" t="str">
        <f t="shared" si="17"/>
        <v>Low Price</v>
      </c>
      <c r="Q303" s="1" t="str">
        <f t="shared" si="18"/>
        <v>High</v>
      </c>
      <c r="R303" s="1" t="str">
        <f t="shared" si="19"/>
        <v>Medium</v>
      </c>
    </row>
    <row r="304" spans="1:18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6"/>
        <v>4088.16</v>
      </c>
      <c r="P304" s="1" t="str">
        <f t="shared" si="17"/>
        <v>Low Price</v>
      </c>
      <c r="Q304" s="1" t="str">
        <f t="shared" si="18"/>
        <v>High</v>
      </c>
      <c r="R304" s="1" t="str">
        <f t="shared" si="19"/>
        <v>Medium</v>
      </c>
    </row>
    <row r="305" spans="1:18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6"/>
        <v>3910.66</v>
      </c>
      <c r="P305" s="1" t="str">
        <f t="shared" si="17"/>
        <v>Low Price</v>
      </c>
      <c r="Q305" s="1" t="str">
        <f t="shared" si="18"/>
        <v>Medium</v>
      </c>
      <c r="R305" s="1" t="str">
        <f t="shared" si="19"/>
        <v>Low</v>
      </c>
    </row>
    <row r="306" spans="1:18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6"/>
        <v>1462.35</v>
      </c>
      <c r="P306" s="1" t="str">
        <f t="shared" si="17"/>
        <v>Low Price</v>
      </c>
      <c r="Q306" s="1" t="str">
        <f t="shared" si="18"/>
        <v>Medium</v>
      </c>
      <c r="R306" s="1" t="str">
        <f t="shared" si="19"/>
        <v>Low</v>
      </c>
    </row>
    <row r="307" spans="1:18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6"/>
        <v>3581.58</v>
      </c>
      <c r="P307" s="1" t="str">
        <f t="shared" si="17"/>
        <v>Low Price</v>
      </c>
      <c r="Q307" s="1" t="str">
        <f t="shared" si="18"/>
        <v>High</v>
      </c>
      <c r="R307" s="1" t="str">
        <f t="shared" si="19"/>
        <v>Low</v>
      </c>
    </row>
    <row r="308" spans="1:18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6"/>
        <v>9678.4</v>
      </c>
      <c r="P308" s="1" t="str">
        <f t="shared" si="17"/>
        <v>Low Price</v>
      </c>
      <c r="Q308" s="1" t="str">
        <f t="shared" si="18"/>
        <v>High</v>
      </c>
      <c r="R308" s="1" t="str">
        <f t="shared" si="19"/>
        <v>Medium</v>
      </c>
    </row>
    <row r="309" spans="1:18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6"/>
        <v>4146.33</v>
      </c>
      <c r="P309" s="1" t="str">
        <f t="shared" si="17"/>
        <v>Low Price</v>
      </c>
      <c r="Q309" s="1" t="str">
        <f t="shared" si="18"/>
        <v>High</v>
      </c>
      <c r="R309" s="1" t="str">
        <f t="shared" si="19"/>
        <v>Low</v>
      </c>
    </row>
    <row r="310" spans="1:18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6"/>
        <v>3968.76</v>
      </c>
      <c r="P310" s="1" t="str">
        <f t="shared" si="17"/>
        <v>Low Price</v>
      </c>
      <c r="Q310" s="1" t="str">
        <f t="shared" si="18"/>
        <v>High</v>
      </c>
      <c r="R310" s="1" t="str">
        <f t="shared" si="19"/>
        <v>Low</v>
      </c>
    </row>
    <row r="311" spans="1:18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6"/>
        <v>11003.76</v>
      </c>
      <c r="P311" s="1" t="str">
        <f t="shared" si="17"/>
        <v>Low Price</v>
      </c>
      <c r="Q311" s="1" t="str">
        <f t="shared" si="18"/>
        <v>High</v>
      </c>
      <c r="R311" s="1" t="str">
        <f t="shared" si="19"/>
        <v>Medium</v>
      </c>
    </row>
    <row r="312" spans="1:18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6"/>
        <v>6098.37</v>
      </c>
      <c r="P312" s="1" t="str">
        <f t="shared" si="17"/>
        <v>Low Price</v>
      </c>
      <c r="Q312" s="1" t="str">
        <f t="shared" si="18"/>
        <v>High</v>
      </c>
      <c r="R312" s="1" t="str">
        <f t="shared" si="19"/>
        <v>Low</v>
      </c>
    </row>
    <row r="313" spans="1:18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6"/>
        <v>2430.36</v>
      </c>
      <c r="P313" s="1" t="str">
        <f t="shared" si="17"/>
        <v>Low Price</v>
      </c>
      <c r="Q313" s="1" t="str">
        <f t="shared" si="18"/>
        <v>High</v>
      </c>
      <c r="R313" s="1" t="str">
        <f t="shared" si="19"/>
        <v>Low</v>
      </c>
    </row>
    <row r="314" spans="1:18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6"/>
        <v>4661.9400000000005</v>
      </c>
      <c r="P314" s="1" t="str">
        <f t="shared" si="17"/>
        <v>Low Price</v>
      </c>
      <c r="Q314" s="1" t="str">
        <f t="shared" si="18"/>
        <v>High</v>
      </c>
      <c r="R314" s="1" t="str">
        <f t="shared" si="19"/>
        <v>Low</v>
      </c>
    </row>
    <row r="315" spans="1:18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6"/>
        <v>23946</v>
      </c>
      <c r="P315" s="1" t="str">
        <f t="shared" si="17"/>
        <v>High Price</v>
      </c>
      <c r="Q315" s="1" t="str">
        <f t="shared" si="18"/>
        <v>High</v>
      </c>
      <c r="R315" s="1" t="str">
        <f t="shared" si="19"/>
        <v>Medium</v>
      </c>
    </row>
    <row r="316" spans="1:18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6"/>
        <v>16298.880000000001</v>
      </c>
      <c r="P316" s="1" t="str">
        <f t="shared" si="17"/>
        <v>High Price</v>
      </c>
      <c r="Q316" s="1" t="str">
        <f t="shared" si="18"/>
        <v>Low</v>
      </c>
      <c r="R316" s="1" t="str">
        <f t="shared" si="19"/>
        <v>Medium</v>
      </c>
    </row>
    <row r="317" spans="1:18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6"/>
        <v>1220.6199999999999</v>
      </c>
      <c r="P317" s="1" t="str">
        <f t="shared" si="17"/>
        <v>Low Price</v>
      </c>
      <c r="Q317" s="1" t="str">
        <f t="shared" si="18"/>
        <v>High</v>
      </c>
      <c r="R317" s="1" t="str">
        <f t="shared" si="19"/>
        <v>Low</v>
      </c>
    </row>
    <row r="318" spans="1:18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6"/>
        <v>14128.02</v>
      </c>
      <c r="P318" s="1" t="str">
        <f t="shared" si="17"/>
        <v>Low Price</v>
      </c>
      <c r="Q318" s="1" t="str">
        <f t="shared" si="18"/>
        <v>High</v>
      </c>
      <c r="R318" s="1" t="str">
        <f t="shared" si="19"/>
        <v>Medium</v>
      </c>
    </row>
    <row r="319" spans="1:18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6"/>
        <v>16228.85</v>
      </c>
      <c r="P319" s="1" t="str">
        <f t="shared" si="17"/>
        <v>High Price</v>
      </c>
      <c r="Q319" s="1" t="str">
        <f t="shared" si="18"/>
        <v>Low</v>
      </c>
      <c r="R319" s="1" t="str">
        <f t="shared" si="19"/>
        <v>Medium</v>
      </c>
    </row>
    <row r="320" spans="1:18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6"/>
        <v>5369.58</v>
      </c>
      <c r="P320" s="1" t="str">
        <f t="shared" si="17"/>
        <v>Low Price</v>
      </c>
      <c r="Q320" s="1" t="str">
        <f t="shared" si="18"/>
        <v>Low</v>
      </c>
      <c r="R320" s="1" t="str">
        <f t="shared" si="19"/>
        <v>Low</v>
      </c>
    </row>
    <row r="321" spans="1:18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6"/>
        <v>2743.75</v>
      </c>
      <c r="P321" s="1" t="str">
        <f t="shared" si="17"/>
        <v>Low Price</v>
      </c>
      <c r="Q321" s="1" t="str">
        <f t="shared" si="18"/>
        <v>High</v>
      </c>
      <c r="R321" s="1" t="str">
        <f t="shared" si="19"/>
        <v>Low</v>
      </c>
    </row>
    <row r="322" spans="1:18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6"/>
        <v>5335.96</v>
      </c>
      <c r="P322" s="1" t="str">
        <f t="shared" si="17"/>
        <v>Low Price</v>
      </c>
      <c r="Q322" s="1" t="str">
        <f t="shared" si="18"/>
        <v>Medium</v>
      </c>
      <c r="R322" s="1" t="str">
        <f t="shared" si="19"/>
        <v>Low</v>
      </c>
    </row>
    <row r="323" spans="1:18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20">M323*L323</f>
        <v>2044.41</v>
      </c>
      <c r="P323" s="1" t="str">
        <f t="shared" ref="P323:P373" si="21">IF(O323&gt;=15000,"High Price","Low Price")</f>
        <v>Low Price</v>
      </c>
      <c r="Q323" s="1" t="str">
        <f t="shared" ref="Q323:Q373" si="22">_xlfn.IFS(N323&gt;=10,"High",N323&gt;=5,"Medium",N323&lt;5,"Low")</f>
        <v>Low</v>
      </c>
      <c r="R323" s="1" t="str">
        <f t="shared" ref="R323:R373" si="23">IF(L323&gt;8,"High",IF(L323&gt;4,"Medium","Low"))</f>
        <v>Low</v>
      </c>
    </row>
    <row r="324" spans="1:18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20"/>
        <v>28949.040000000001</v>
      </c>
      <c r="P324" s="1" t="str">
        <f t="shared" si="21"/>
        <v>High Price</v>
      </c>
      <c r="Q324" s="1" t="str">
        <f t="shared" si="22"/>
        <v>High</v>
      </c>
      <c r="R324" s="1" t="str">
        <f t="shared" si="23"/>
        <v>High</v>
      </c>
    </row>
    <row r="325" spans="1:18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20"/>
        <v>7141.6100000000006</v>
      </c>
      <c r="P325" s="1" t="str">
        <f t="shared" si="21"/>
        <v>Low Price</v>
      </c>
      <c r="Q325" s="1" t="str">
        <f t="shared" si="22"/>
        <v>High</v>
      </c>
      <c r="R325" s="1" t="str">
        <f t="shared" si="23"/>
        <v>Medium</v>
      </c>
    </row>
    <row r="326" spans="1:18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20"/>
        <v>6497.16</v>
      </c>
      <c r="P326" s="1" t="str">
        <f t="shared" si="21"/>
        <v>Low Price</v>
      </c>
      <c r="Q326" s="1" t="str">
        <f t="shared" si="22"/>
        <v>Medium</v>
      </c>
      <c r="R326" s="1" t="str">
        <f t="shared" si="23"/>
        <v>Low</v>
      </c>
    </row>
    <row r="327" spans="1:18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20"/>
        <v>10380.719999999999</v>
      </c>
      <c r="P327" s="1" t="str">
        <f t="shared" si="21"/>
        <v>Low Price</v>
      </c>
      <c r="Q327" s="1" t="str">
        <f t="shared" si="22"/>
        <v>Low</v>
      </c>
      <c r="R327" s="1" t="str">
        <f t="shared" si="23"/>
        <v>Medium</v>
      </c>
    </row>
    <row r="328" spans="1:18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20"/>
        <v>1219.7</v>
      </c>
      <c r="P328" s="1" t="str">
        <f t="shared" si="21"/>
        <v>Low Price</v>
      </c>
      <c r="Q328" s="1" t="str">
        <f t="shared" si="22"/>
        <v>Medium</v>
      </c>
      <c r="R328" s="1" t="str">
        <f t="shared" si="23"/>
        <v>Low</v>
      </c>
    </row>
    <row r="329" spans="1:18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20"/>
        <v>3354.81</v>
      </c>
      <c r="P329" s="1" t="str">
        <f t="shared" si="21"/>
        <v>Low Price</v>
      </c>
      <c r="Q329" s="1" t="str">
        <f t="shared" si="22"/>
        <v>Low</v>
      </c>
      <c r="R329" s="1" t="str">
        <f t="shared" si="23"/>
        <v>Low</v>
      </c>
    </row>
    <row r="330" spans="1:18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20"/>
        <v>31244.560000000001</v>
      </c>
      <c r="P330" s="1" t="str">
        <f t="shared" si="21"/>
        <v>High Price</v>
      </c>
      <c r="Q330" s="1" t="str">
        <f t="shared" si="22"/>
        <v>High</v>
      </c>
      <c r="R330" s="1" t="str">
        <f t="shared" si="23"/>
        <v>Medium</v>
      </c>
    </row>
    <row r="331" spans="1:18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20"/>
        <v>7729.86</v>
      </c>
      <c r="P331" s="1" t="str">
        <f t="shared" si="21"/>
        <v>Low Price</v>
      </c>
      <c r="Q331" s="1" t="str">
        <f t="shared" si="22"/>
        <v>High</v>
      </c>
      <c r="R331" s="1" t="str">
        <f t="shared" si="23"/>
        <v>Medium</v>
      </c>
    </row>
    <row r="332" spans="1:18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20"/>
        <v>33662.700000000004</v>
      </c>
      <c r="P332" s="1" t="str">
        <f t="shared" si="21"/>
        <v>High Price</v>
      </c>
      <c r="Q332" s="1" t="str">
        <f t="shared" si="22"/>
        <v>High</v>
      </c>
      <c r="R332" s="1" t="str">
        <f t="shared" si="23"/>
        <v>High</v>
      </c>
    </row>
    <row r="333" spans="1:18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20"/>
        <v>22091.31</v>
      </c>
      <c r="P333" s="1" t="str">
        <f t="shared" si="21"/>
        <v>High Price</v>
      </c>
      <c r="Q333" s="1" t="str">
        <f t="shared" si="22"/>
        <v>Medium</v>
      </c>
      <c r="R333" s="1" t="str">
        <f t="shared" si="23"/>
        <v>High</v>
      </c>
    </row>
    <row r="334" spans="1:18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20"/>
        <v>13484.22</v>
      </c>
      <c r="P334" s="1" t="str">
        <f t="shared" si="21"/>
        <v>Low Price</v>
      </c>
      <c r="Q334" s="1" t="str">
        <f t="shared" si="22"/>
        <v>High</v>
      </c>
      <c r="R334" s="1" t="str">
        <f t="shared" si="23"/>
        <v>Medium</v>
      </c>
    </row>
    <row r="335" spans="1:18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20"/>
        <v>3498.88</v>
      </c>
      <c r="P335" s="1" t="str">
        <f t="shared" si="21"/>
        <v>Low Price</v>
      </c>
      <c r="Q335" s="1" t="str">
        <f t="shared" si="22"/>
        <v>High</v>
      </c>
      <c r="R335" s="1" t="str">
        <f t="shared" si="23"/>
        <v>Medium</v>
      </c>
    </row>
    <row r="336" spans="1:18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20"/>
        <v>10934.34</v>
      </c>
      <c r="P336" s="1" t="str">
        <f t="shared" si="21"/>
        <v>Low Price</v>
      </c>
      <c r="Q336" s="1" t="str">
        <f t="shared" si="22"/>
        <v>Low</v>
      </c>
      <c r="R336" s="1" t="str">
        <f t="shared" si="23"/>
        <v>Low</v>
      </c>
    </row>
    <row r="337" spans="1:18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20"/>
        <v>11960.34</v>
      </c>
      <c r="P337" s="1" t="str">
        <f t="shared" si="21"/>
        <v>Low Price</v>
      </c>
      <c r="Q337" s="1" t="str">
        <f t="shared" si="22"/>
        <v>High</v>
      </c>
      <c r="R337" s="1" t="str">
        <f t="shared" si="23"/>
        <v>Low</v>
      </c>
    </row>
    <row r="338" spans="1:18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20"/>
        <v>15581.099999999999</v>
      </c>
      <c r="P338" s="1" t="str">
        <f t="shared" si="21"/>
        <v>High Price</v>
      </c>
      <c r="Q338" s="1" t="str">
        <f t="shared" si="22"/>
        <v>High</v>
      </c>
      <c r="R338" s="1" t="str">
        <f t="shared" si="23"/>
        <v>Medium</v>
      </c>
    </row>
    <row r="339" spans="1:18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20"/>
        <v>4345.8599999999997</v>
      </c>
      <c r="P339" s="1" t="str">
        <f t="shared" si="21"/>
        <v>Low Price</v>
      </c>
      <c r="Q339" s="1" t="str">
        <f t="shared" si="22"/>
        <v>High</v>
      </c>
      <c r="R339" s="1" t="str">
        <f t="shared" si="23"/>
        <v>Low</v>
      </c>
    </row>
    <row r="340" spans="1:18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20"/>
        <v>3775.07</v>
      </c>
      <c r="P340" s="1" t="str">
        <f t="shared" si="21"/>
        <v>Low Price</v>
      </c>
      <c r="Q340" s="1" t="str">
        <f t="shared" si="22"/>
        <v>High</v>
      </c>
      <c r="R340" s="1" t="str">
        <f t="shared" si="23"/>
        <v>Low</v>
      </c>
    </row>
    <row r="341" spans="1:18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20"/>
        <v>6568.2000000000007</v>
      </c>
      <c r="P341" s="1" t="str">
        <f t="shared" si="21"/>
        <v>Low Price</v>
      </c>
      <c r="Q341" s="1" t="str">
        <f t="shared" si="22"/>
        <v>High</v>
      </c>
      <c r="R341" s="1" t="str">
        <f t="shared" si="23"/>
        <v>Low</v>
      </c>
    </row>
    <row r="342" spans="1:18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20"/>
        <v>26727.3</v>
      </c>
      <c r="P342" s="1" t="str">
        <f t="shared" si="21"/>
        <v>High Price</v>
      </c>
      <c r="Q342" s="1" t="str">
        <f t="shared" si="22"/>
        <v>High</v>
      </c>
      <c r="R342" s="1" t="str">
        <f t="shared" si="23"/>
        <v>High</v>
      </c>
    </row>
    <row r="343" spans="1:18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20"/>
        <v>7808.88</v>
      </c>
      <c r="P343" s="1" t="str">
        <f t="shared" si="21"/>
        <v>Low Price</v>
      </c>
      <c r="Q343" s="1" t="str">
        <f t="shared" si="22"/>
        <v>High</v>
      </c>
      <c r="R343" s="1" t="str">
        <f t="shared" si="23"/>
        <v>Low</v>
      </c>
    </row>
    <row r="344" spans="1:18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20"/>
        <v>15484.84</v>
      </c>
      <c r="P344" s="1" t="str">
        <f t="shared" si="21"/>
        <v>High Price</v>
      </c>
      <c r="Q344" s="1" t="str">
        <f t="shared" si="22"/>
        <v>High</v>
      </c>
      <c r="R344" s="1" t="str">
        <f t="shared" si="23"/>
        <v>Low</v>
      </c>
    </row>
    <row r="345" spans="1:18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20"/>
        <v>17977.82</v>
      </c>
      <c r="P345" s="1" t="str">
        <f t="shared" si="21"/>
        <v>High Price</v>
      </c>
      <c r="Q345" s="1" t="str">
        <f t="shared" si="22"/>
        <v>High</v>
      </c>
      <c r="R345" s="1" t="str">
        <f t="shared" si="23"/>
        <v>Medium</v>
      </c>
    </row>
    <row r="346" spans="1:18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20"/>
        <v>1574.59</v>
      </c>
      <c r="P346" s="1" t="str">
        <f t="shared" si="21"/>
        <v>Low Price</v>
      </c>
      <c r="Q346" s="1" t="str">
        <f t="shared" si="22"/>
        <v>Medium</v>
      </c>
      <c r="R346" s="1" t="str">
        <f t="shared" si="23"/>
        <v>Low</v>
      </c>
    </row>
    <row r="347" spans="1:18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20"/>
        <v>28724.04</v>
      </c>
      <c r="P347" s="1" t="str">
        <f t="shared" si="21"/>
        <v>High Price</v>
      </c>
      <c r="Q347" s="1" t="str">
        <f t="shared" si="22"/>
        <v>High</v>
      </c>
      <c r="R347" s="1" t="str">
        <f t="shared" si="23"/>
        <v>High</v>
      </c>
    </row>
    <row r="348" spans="1:18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20"/>
        <v>2748.46</v>
      </c>
      <c r="P348" s="1" t="str">
        <f t="shared" si="21"/>
        <v>Low Price</v>
      </c>
      <c r="Q348" s="1" t="str">
        <f t="shared" si="22"/>
        <v>Low</v>
      </c>
      <c r="R348" s="1" t="str">
        <f t="shared" si="23"/>
        <v>Low</v>
      </c>
    </row>
    <row r="349" spans="1:18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20"/>
        <v>7403.3</v>
      </c>
      <c r="P349" s="1" t="str">
        <f t="shared" si="21"/>
        <v>Low Price</v>
      </c>
      <c r="Q349" s="1" t="str">
        <f t="shared" si="22"/>
        <v>Low</v>
      </c>
      <c r="R349" s="1" t="str">
        <f t="shared" si="23"/>
        <v>Medium</v>
      </c>
    </row>
    <row r="350" spans="1:18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20"/>
        <v>445.38</v>
      </c>
      <c r="P350" s="1" t="str">
        <f t="shared" si="21"/>
        <v>Low Price</v>
      </c>
      <c r="Q350" s="1" t="str">
        <f t="shared" si="22"/>
        <v>High</v>
      </c>
      <c r="R350" s="1" t="str">
        <f t="shared" si="23"/>
        <v>Low</v>
      </c>
    </row>
    <row r="351" spans="1:18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20"/>
        <v>10361.6</v>
      </c>
      <c r="P351" s="1" t="str">
        <f t="shared" si="21"/>
        <v>Low Price</v>
      </c>
      <c r="Q351" s="1" t="str">
        <f t="shared" si="22"/>
        <v>High</v>
      </c>
      <c r="R351" s="1" t="str">
        <f t="shared" si="23"/>
        <v>Medium</v>
      </c>
    </row>
    <row r="352" spans="1:18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20"/>
        <v>559.4</v>
      </c>
      <c r="P352" s="1" t="str">
        <f t="shared" si="21"/>
        <v>Low Price</v>
      </c>
      <c r="Q352" s="1" t="str">
        <f t="shared" si="22"/>
        <v>High</v>
      </c>
      <c r="R352" s="1" t="str">
        <f t="shared" si="23"/>
        <v>Low</v>
      </c>
    </row>
    <row r="353" spans="1:18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20"/>
        <v>2357.7600000000002</v>
      </c>
      <c r="P353" s="1" t="str">
        <f t="shared" si="21"/>
        <v>Low Price</v>
      </c>
      <c r="Q353" s="1" t="str">
        <f t="shared" si="22"/>
        <v>High</v>
      </c>
      <c r="R353" s="1" t="str">
        <f t="shared" si="23"/>
        <v>Low</v>
      </c>
    </row>
    <row r="354" spans="1:18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20"/>
        <v>22638.239999999998</v>
      </c>
      <c r="P354" s="1" t="str">
        <f t="shared" si="21"/>
        <v>High Price</v>
      </c>
      <c r="Q354" s="1" t="str">
        <f t="shared" si="22"/>
        <v>Low</v>
      </c>
      <c r="R354" s="1" t="str">
        <f t="shared" si="23"/>
        <v>Medium</v>
      </c>
    </row>
    <row r="355" spans="1:18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20"/>
        <v>17014.77</v>
      </c>
      <c r="P355" s="1" t="str">
        <f t="shared" si="21"/>
        <v>High Price</v>
      </c>
      <c r="Q355" s="1" t="str">
        <f t="shared" si="22"/>
        <v>High</v>
      </c>
      <c r="R355" s="1" t="str">
        <f t="shared" si="23"/>
        <v>High</v>
      </c>
    </row>
    <row r="356" spans="1:18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20"/>
        <v>1205.76</v>
      </c>
      <c r="P356" s="1" t="str">
        <f t="shared" si="21"/>
        <v>Low Price</v>
      </c>
      <c r="Q356" s="1" t="str">
        <f t="shared" si="22"/>
        <v>Medium</v>
      </c>
      <c r="R356" s="1" t="str">
        <f t="shared" si="23"/>
        <v>Medium</v>
      </c>
    </row>
    <row r="357" spans="1:18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20"/>
        <v>12616.25</v>
      </c>
      <c r="P357" s="1" t="str">
        <f t="shared" si="21"/>
        <v>Low Price</v>
      </c>
      <c r="Q357" s="1" t="str">
        <f t="shared" si="22"/>
        <v>High</v>
      </c>
      <c r="R357" s="1" t="str">
        <f t="shared" si="23"/>
        <v>Medium</v>
      </c>
    </row>
    <row r="358" spans="1:18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20"/>
        <v>5070</v>
      </c>
      <c r="P358" s="1" t="str">
        <f t="shared" si="21"/>
        <v>Low Price</v>
      </c>
      <c r="Q358" s="1" t="str">
        <f t="shared" si="22"/>
        <v>High</v>
      </c>
      <c r="R358" s="1" t="str">
        <f t="shared" si="23"/>
        <v>Medium</v>
      </c>
    </row>
    <row r="359" spans="1:18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20"/>
        <v>9284.08</v>
      </c>
      <c r="P359" s="1" t="str">
        <f t="shared" si="21"/>
        <v>Low Price</v>
      </c>
      <c r="Q359" s="1" t="str">
        <f t="shared" si="22"/>
        <v>Low</v>
      </c>
      <c r="R359" s="1" t="str">
        <f t="shared" si="23"/>
        <v>Medium</v>
      </c>
    </row>
    <row r="360" spans="1:18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20"/>
        <v>15205.679999999998</v>
      </c>
      <c r="P360" s="1" t="str">
        <f t="shared" si="21"/>
        <v>High Price</v>
      </c>
      <c r="Q360" s="1" t="str">
        <f t="shared" si="22"/>
        <v>High</v>
      </c>
      <c r="R360" s="1" t="str">
        <f t="shared" si="23"/>
        <v>Medium</v>
      </c>
    </row>
    <row r="361" spans="1:18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20"/>
        <v>2589.6799999999998</v>
      </c>
      <c r="P361" s="1" t="str">
        <f t="shared" si="21"/>
        <v>Low Price</v>
      </c>
      <c r="Q361" s="1" t="str">
        <f t="shared" si="22"/>
        <v>High</v>
      </c>
      <c r="R361" s="1" t="str">
        <f t="shared" si="23"/>
        <v>Low</v>
      </c>
    </row>
    <row r="362" spans="1:18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20"/>
        <v>6981.93</v>
      </c>
      <c r="P362" s="1" t="str">
        <f t="shared" si="21"/>
        <v>Low Price</v>
      </c>
      <c r="Q362" s="1" t="str">
        <f t="shared" si="22"/>
        <v>Low</v>
      </c>
      <c r="R362" s="1" t="str">
        <f t="shared" si="23"/>
        <v>High</v>
      </c>
    </row>
    <row r="363" spans="1:18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20"/>
        <v>11004.56</v>
      </c>
      <c r="P363" s="1" t="str">
        <f t="shared" si="21"/>
        <v>Low Price</v>
      </c>
      <c r="Q363" s="1" t="str">
        <f t="shared" si="22"/>
        <v>High</v>
      </c>
      <c r="R363" s="1" t="str">
        <f t="shared" si="23"/>
        <v>Low</v>
      </c>
    </row>
    <row r="364" spans="1:18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20"/>
        <v>20295.04</v>
      </c>
      <c r="P364" s="1" t="str">
        <f t="shared" si="21"/>
        <v>High Price</v>
      </c>
      <c r="Q364" s="1" t="str">
        <f t="shared" si="22"/>
        <v>Medium</v>
      </c>
      <c r="R364" s="1" t="str">
        <f t="shared" si="23"/>
        <v>Medium</v>
      </c>
    </row>
    <row r="365" spans="1:18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20"/>
        <v>19866.419999999998</v>
      </c>
      <c r="P365" s="1" t="str">
        <f t="shared" si="21"/>
        <v>High Price</v>
      </c>
      <c r="Q365" s="1" t="str">
        <f t="shared" si="22"/>
        <v>High</v>
      </c>
      <c r="R365" s="1" t="str">
        <f t="shared" si="23"/>
        <v>Medium</v>
      </c>
    </row>
    <row r="366" spans="1:18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20"/>
        <v>4887.1499999999996</v>
      </c>
      <c r="P366" s="1" t="str">
        <f t="shared" si="21"/>
        <v>Low Price</v>
      </c>
      <c r="Q366" s="1" t="str">
        <f t="shared" si="22"/>
        <v>High</v>
      </c>
      <c r="R366" s="1" t="str">
        <f t="shared" si="23"/>
        <v>Medium</v>
      </c>
    </row>
    <row r="367" spans="1:18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20"/>
        <v>10850.21</v>
      </c>
      <c r="P367" s="1" t="str">
        <f t="shared" si="21"/>
        <v>Low Price</v>
      </c>
      <c r="Q367" s="1" t="str">
        <f t="shared" si="22"/>
        <v>High</v>
      </c>
      <c r="R367" s="1" t="str">
        <f t="shared" si="23"/>
        <v>Medium</v>
      </c>
    </row>
    <row r="368" spans="1:18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20"/>
        <v>2647.9500000000003</v>
      </c>
      <c r="P368" s="1" t="str">
        <f t="shared" si="21"/>
        <v>Low Price</v>
      </c>
      <c r="Q368" s="1" t="str">
        <f t="shared" si="22"/>
        <v>Medium</v>
      </c>
      <c r="R368" s="1" t="str">
        <f t="shared" si="23"/>
        <v>Medium</v>
      </c>
    </row>
    <row r="369" spans="1:18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20"/>
        <v>4787.5200000000004</v>
      </c>
      <c r="P369" s="1" t="str">
        <f t="shared" si="21"/>
        <v>Low Price</v>
      </c>
      <c r="Q369" s="1" t="str">
        <f t="shared" si="22"/>
        <v>Low</v>
      </c>
      <c r="R369" s="1" t="str">
        <f t="shared" si="23"/>
        <v>Medium</v>
      </c>
    </row>
    <row r="370" spans="1:18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20"/>
        <v>6773.4600000000009</v>
      </c>
      <c r="P370" s="1" t="str">
        <f t="shared" si="21"/>
        <v>Low Price</v>
      </c>
      <c r="Q370" s="1" t="str">
        <f t="shared" si="22"/>
        <v>High</v>
      </c>
      <c r="R370" s="1" t="str">
        <f t="shared" si="23"/>
        <v>Medium</v>
      </c>
    </row>
    <row r="371" spans="1:18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20"/>
        <v>6437.75</v>
      </c>
      <c r="P371" s="1" t="str">
        <f t="shared" si="21"/>
        <v>Low Price</v>
      </c>
      <c r="Q371" s="1" t="str">
        <f t="shared" si="22"/>
        <v>Low</v>
      </c>
      <c r="R371" s="1" t="str">
        <f t="shared" si="23"/>
        <v>Medium</v>
      </c>
    </row>
    <row r="372" spans="1:18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20"/>
        <v>19713.509999999998</v>
      </c>
      <c r="P372" s="1" t="str">
        <f t="shared" si="21"/>
        <v>High Price</v>
      </c>
      <c r="Q372" s="1" t="str">
        <f t="shared" si="22"/>
        <v>High</v>
      </c>
      <c r="R372" s="1" t="str">
        <f t="shared" si="23"/>
        <v>High</v>
      </c>
    </row>
    <row r="373" spans="1:18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20"/>
        <v>2432.17</v>
      </c>
      <c r="P373" s="1" t="str">
        <f t="shared" si="21"/>
        <v>Low Price</v>
      </c>
      <c r="Q373" s="1" t="str">
        <f t="shared" si="22"/>
        <v>High</v>
      </c>
      <c r="R373" s="1" t="str">
        <f t="shared" si="23"/>
        <v>Low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cp:lastPrinted>2026-02-24T04:46:04Z</cp:lastPrinted>
  <dcterms:created xsi:type="dcterms:W3CDTF">2026-02-23T04:31:33Z</dcterms:created>
  <dcterms:modified xsi:type="dcterms:W3CDTF">2026-02-25T05:47:50Z</dcterms:modified>
</cp:coreProperties>
</file>