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CE8F5B9A-5249-424A-AEB4-4A4E05054A0C}" xr6:coauthVersionLast="47" xr6:coauthVersionMax="47" xr10:uidLastSave="{00000000-0000-0000-0000-000000000000}"/>
  <bookViews>
    <workbookView xWindow="-120" yWindow="-120" windowWidth="20730" windowHeight="11160" activeTab="1" xr2:uid="{DF5488B7-5785-4426-9376-8C49518872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M3" i="2"/>
  <c r="Q7" i="2"/>
  <c r="M7" i="2"/>
  <c r="I7" i="2"/>
  <c r="I3" i="2"/>
  <c r="K11" i="1"/>
  <c r="L10" i="1"/>
  <c r="M10" i="1"/>
  <c r="N10" i="1"/>
  <c r="O10" i="1"/>
  <c r="K10" i="1"/>
  <c r="J4" i="1"/>
  <c r="J3" i="1"/>
</calcChain>
</file>

<file path=xl/sharedStrings.xml><?xml version="1.0" encoding="utf-8"?>
<sst xmlns="http://schemas.openxmlformats.org/spreadsheetml/2006/main" count="79" uniqueCount="48">
  <si>
    <t>Product ID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</si>
  <si>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</si>
  <si>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</si>
  <si>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</si>
  <si>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</si>
  <si>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</si>
  <si>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</si>
  <si>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</si>
  <si>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</si>
  <si>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</si>
  <si>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</si>
  <si>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</si>
  <si>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Month</t>
  </si>
  <si>
    <t>Sales</t>
  </si>
  <si>
    <t>Jan</t>
  </si>
  <si>
    <t>Emp ID</t>
  </si>
  <si>
    <t>Name</t>
  </si>
  <si>
    <t>Department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</si>
  <si>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</si>
  <si>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</si>
  <si>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</si>
  <si>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</si>
  <si>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</si>
  <si>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</si>
  <si>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</si>
  <si>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</si>
  <si>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</si>
  <si>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</si>
  <si>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</si>
  <si>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</si>
  <si>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</si>
  <si>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</si>
  <si>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</si>
  <si>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</si>
  <si>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</si>
  <si>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</si>
  <si>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HR</t>
  </si>
  <si>
    <t>IT</t>
  </si>
  <si>
    <t>Finance</t>
  </si>
  <si>
    <t>Marketing</t>
  </si>
  <si>
    <t>Delhi</t>
  </si>
  <si>
    <t>Mumbai</t>
  </si>
  <si>
    <t>Kolkata</t>
  </si>
  <si>
    <t>Bangalore</t>
  </si>
  <si>
    <t>Pune</t>
  </si>
  <si>
    <t>Chennai</t>
  </si>
  <si>
    <t>Employee Name</t>
  </si>
  <si>
    <t>Find the Name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</si>
</sst>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0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57C1-1278-4EF0-8D3D-CBCDC7BD09F9}">
  <dimension ref="A1:O11"/>
  <sheetViews>
    <sheetView workbookViewId="0">
      <selection activeCell="K12" sqref="K12"/>
    </sheetView>
  </sheetViews>
  <sheetFormatPr defaultRowHeight="15" x14ac:dyDescent="0.25"/>
  <cols>
    <col min="1" max="1" width="10.140625" bestFit="1" customWidth="1"/>
    <col min="8" max="8" width="10.140625" bestFit="1" customWidth="1"/>
  </cols>
  <sheetData>
    <row r="1" spans="1:15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x14ac:dyDescent="0.25">
      <c r="A2" s="2" t="s">
        <v>6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t="s">
        <v>0</v>
      </c>
      <c r="I2" t="s">
        <v>12</v>
      </c>
      <c r="J2" t="s">
        <v>13</v>
      </c>
    </row>
    <row r="3" spans="1:15" x14ac:dyDescent="0.25">
      <c r="A3" s="2" t="s">
        <v>7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H3" t="s">
        <v>6</v>
      </c>
      <c r="I3" t="s">
        <v>3</v>
      </c>
      <c r="J3">
        <f>HLOOKUP(I3,$A$1:$F$7,2,0)</f>
        <v>140</v>
      </c>
    </row>
    <row r="4" spans="1:15" x14ac:dyDescent="0.25">
      <c r="A4" s="2" t="s">
        <v>8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I4" t="s">
        <v>14</v>
      </c>
      <c r="J4">
        <f>HLOOKUP(I4,$A$1:$F$7,2,0)</f>
        <v>120</v>
      </c>
    </row>
    <row r="5" spans="1:15" x14ac:dyDescent="0.25">
      <c r="A5" s="2" t="s">
        <v>9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15" x14ac:dyDescent="0.25">
      <c r="A6" s="2" t="s">
        <v>10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15" x14ac:dyDescent="0.25">
      <c r="A7" s="2" t="s">
        <v>11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15" x14ac:dyDescent="0.25">
      <c r="K9" s="1" t="s">
        <v>1</v>
      </c>
      <c r="L9" s="1" t="s">
        <v>2</v>
      </c>
      <c r="M9" s="1" t="s">
        <v>3</v>
      </c>
      <c r="N9" s="1" t="s">
        <v>4</v>
      </c>
      <c r="O9" s="1" t="s">
        <v>5</v>
      </c>
    </row>
    <row r="10" spans="1:15" x14ac:dyDescent="0.25">
      <c r="J10" s="2" t="s">
        <v>8</v>
      </c>
      <c r="K10">
        <f>HLOOKUP(K9,A1:F7,4,FALSE)</f>
        <v>200</v>
      </c>
      <c r="L10">
        <f t="shared" ref="L10:P10" si="0">HLOOKUP(L9,B1:G7,4,FALSE)</f>
        <v>210</v>
      </c>
      <c r="M10">
        <f t="shared" si="0"/>
        <v>220</v>
      </c>
      <c r="N10">
        <f t="shared" si="0"/>
        <v>230</v>
      </c>
      <c r="O10">
        <f t="shared" si="0"/>
        <v>240</v>
      </c>
    </row>
    <row r="11" spans="1:15" x14ac:dyDescent="0.25">
      <c r="K11">
        <f>MIN(K10:O10)</f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13C7-0D24-4F0B-BF49-2541C83E6A45}">
  <dimension ref="A1:Q9"/>
  <sheetViews>
    <sheetView tabSelected="1" workbookViewId="0">
      <selection activeCell="I13" sqref="I13"/>
    </sheetView>
  </sheetViews>
  <sheetFormatPr defaultRowHeight="15" x14ac:dyDescent="0.25"/>
  <cols>
    <col min="3" max="3" width="11.7109375" bestFit="1" customWidth="1"/>
    <col min="5" max="5" width="9.85546875" bestFit="1" customWidth="1"/>
    <col min="9" max="9" width="15.7109375" bestFit="1" customWidth="1"/>
    <col min="13" max="13" width="11.7109375" bestFit="1" customWidth="1"/>
  </cols>
  <sheetData>
    <row r="1" spans="1:17" x14ac:dyDescent="0.25">
      <c r="A1" s="6" t="s">
        <v>15</v>
      </c>
      <c r="B1" s="7" t="s">
        <v>16</v>
      </c>
      <c r="C1" s="7" t="s">
        <v>17</v>
      </c>
      <c r="D1" s="7" t="s">
        <v>18</v>
      </c>
      <c r="E1" s="8" t="s">
        <v>19</v>
      </c>
      <c r="G1" s="5" t="s">
        <v>47</v>
      </c>
      <c r="H1" s="5"/>
      <c r="I1" s="5"/>
    </row>
    <row r="2" spans="1:17" x14ac:dyDescent="0.25">
      <c r="A2" s="9" t="s">
        <v>20</v>
      </c>
      <c r="B2" s="4" t="s">
        <v>28</v>
      </c>
      <c r="C2" s="4" t="s">
        <v>36</v>
      </c>
      <c r="D2" s="4">
        <v>35000</v>
      </c>
      <c r="E2" s="10" t="s">
        <v>40</v>
      </c>
      <c r="G2" s="3">
        <v>1</v>
      </c>
      <c r="H2" s="4" t="s">
        <v>15</v>
      </c>
      <c r="I2" s="4" t="s">
        <v>46</v>
      </c>
      <c r="K2" s="3">
        <v>2</v>
      </c>
      <c r="L2" s="4" t="s">
        <v>15</v>
      </c>
      <c r="M2" s="4" t="s">
        <v>17</v>
      </c>
      <c r="O2" s="3">
        <v>3</v>
      </c>
      <c r="P2" s="4" t="s">
        <v>15</v>
      </c>
      <c r="Q2" s="4" t="s">
        <v>18</v>
      </c>
    </row>
    <row r="3" spans="1:17" x14ac:dyDescent="0.25">
      <c r="A3" s="9" t="s">
        <v>21</v>
      </c>
      <c r="B3" s="4" t="s">
        <v>29</v>
      </c>
      <c r="C3" s="4" t="s">
        <v>37</v>
      </c>
      <c r="D3" s="4">
        <v>50000</v>
      </c>
      <c r="E3" s="10" t="s">
        <v>41</v>
      </c>
      <c r="G3" s="2"/>
      <c r="H3" s="2" t="s">
        <v>23</v>
      </c>
      <c r="I3" s="2" t="str">
        <f>VLOOKUP(H3,$A$1:$B$9,2,0)</f>
        <v>Priya</v>
      </c>
      <c r="K3" s="2"/>
      <c r="L3" s="2" t="s">
        <v>22</v>
      </c>
      <c r="M3" s="2" t="str">
        <f>VLOOKUP(A4,$A$1:$C$9,3,0)</f>
        <v>Finance</v>
      </c>
      <c r="O3" s="2"/>
      <c r="P3" s="2" t="s">
        <v>25</v>
      </c>
      <c r="Q3" s="2">
        <f>VLOOKUP(A9,$A$1:$D$9,4,0)</f>
        <v>42000</v>
      </c>
    </row>
    <row r="4" spans="1:17" x14ac:dyDescent="0.25">
      <c r="A4" s="9" t="s">
        <v>22</v>
      </c>
      <c r="B4" s="4" t="s">
        <v>30</v>
      </c>
      <c r="C4" s="4" t="s">
        <v>38</v>
      </c>
      <c r="D4" s="4">
        <v>45000</v>
      </c>
      <c r="E4" s="10" t="s">
        <v>42</v>
      </c>
    </row>
    <row r="5" spans="1:17" x14ac:dyDescent="0.25">
      <c r="A5" s="9" t="s">
        <v>23</v>
      </c>
      <c r="B5" s="4" t="s">
        <v>31</v>
      </c>
      <c r="C5" s="4" t="s">
        <v>37</v>
      </c>
      <c r="D5" s="4">
        <v>52000</v>
      </c>
      <c r="E5" s="11" t="s">
        <v>43</v>
      </c>
    </row>
    <row r="6" spans="1:17" x14ac:dyDescent="0.25">
      <c r="A6" s="9" t="s">
        <v>24</v>
      </c>
      <c r="B6" s="4" t="s">
        <v>32</v>
      </c>
      <c r="C6" s="4" t="s">
        <v>39</v>
      </c>
      <c r="D6" s="4">
        <v>40000</v>
      </c>
      <c r="E6" s="11" t="s">
        <v>44</v>
      </c>
      <c r="G6" s="3">
        <v>4</v>
      </c>
      <c r="H6" s="4" t="s">
        <v>15</v>
      </c>
      <c r="I6" s="4" t="s">
        <v>19</v>
      </c>
      <c r="K6" s="3">
        <v>5</v>
      </c>
      <c r="L6" s="4" t="s">
        <v>15</v>
      </c>
      <c r="M6" s="4" t="s">
        <v>17</v>
      </c>
      <c r="O6" s="3">
        <v>6</v>
      </c>
      <c r="P6" s="4" t="s">
        <v>15</v>
      </c>
      <c r="Q6" s="4" t="s">
        <v>18</v>
      </c>
    </row>
    <row r="7" spans="1:17" x14ac:dyDescent="0.25">
      <c r="A7" s="9" t="s">
        <v>25</v>
      </c>
      <c r="B7" s="4" t="s">
        <v>33</v>
      </c>
      <c r="C7" s="4" t="s">
        <v>36</v>
      </c>
      <c r="D7" s="4">
        <v>36000</v>
      </c>
      <c r="E7" s="11" t="s">
        <v>40</v>
      </c>
      <c r="G7" s="2"/>
      <c r="H7" s="2" t="s">
        <v>24</v>
      </c>
      <c r="I7" s="2" t="str">
        <f>VLOOKUP(H7,$A$1:$E$9,5,0)</f>
        <v>Pune</v>
      </c>
      <c r="K7" s="2"/>
      <c r="L7" s="2" t="s">
        <v>24</v>
      </c>
      <c r="M7" s="2" t="str">
        <f>VLOOKUP(L7,$A$1:$C$9,3,0)</f>
        <v>Marketing</v>
      </c>
      <c r="O7" s="2"/>
      <c r="P7" s="2" t="s">
        <v>25</v>
      </c>
      <c r="Q7" s="2">
        <f>VLOOKUP(P7,$A$1:$D$9,4,0)</f>
        <v>36000</v>
      </c>
    </row>
    <row r="8" spans="1:17" x14ac:dyDescent="0.25">
      <c r="A8" s="9" t="s">
        <v>26</v>
      </c>
      <c r="B8" s="4" t="s">
        <v>34</v>
      </c>
      <c r="C8" s="4" t="s">
        <v>38</v>
      </c>
      <c r="D8" s="4">
        <v>47000</v>
      </c>
      <c r="E8" s="11" t="s">
        <v>41</v>
      </c>
    </row>
    <row r="9" spans="1:17" ht="15.75" thickBot="1" x14ac:dyDescent="0.3">
      <c r="A9" s="12" t="s">
        <v>27</v>
      </c>
      <c r="B9" s="13" t="s">
        <v>35</v>
      </c>
      <c r="C9" s="13" t="s">
        <v>39</v>
      </c>
      <c r="D9" s="13">
        <v>42000</v>
      </c>
      <c r="E9" s="14" t="s">
        <v>45</v>
      </c>
    </row>
  </sheetData>
  <mergeCells count="1">
    <mergeCell ref="G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2026-03-10T04:30:11Z</dcterms:created>
  <dcterms:modified xsi:type="dcterms:W3CDTF">2026-03-10T06:36:47Z</dcterms:modified>
</cp:coreProperties>
</file>